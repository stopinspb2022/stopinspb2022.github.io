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дминистратор\Desktop\Почта России\Коронавирусный экспорт\"/>
    </mc:Choice>
  </mc:AlternateContent>
  <bookViews>
    <workbookView xWindow="-110" yWindow="-110" windowWidth="23260" windowHeight="12580"/>
  </bookViews>
  <sheets>
    <sheet name="Страны" sheetId="1" r:id="rId1"/>
  </sheets>
  <externalReferences>
    <externalReference r:id="rId2"/>
  </externalReferences>
  <definedNames>
    <definedName name="_xlnm._FilterDatabase" localSheetId="0" hidden="1">Страны!$A$4:$M$216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5" i="1"/>
  <c r="L166" i="1"/>
  <c r="L167" i="1"/>
  <c r="L168" i="1"/>
  <c r="L169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5" i="1"/>
</calcChain>
</file>

<file path=xl/sharedStrings.xml><?xml version="1.0" encoding="utf-8"?>
<sst xmlns="http://schemas.openxmlformats.org/spreadsheetml/2006/main" count="1929" uniqueCount="269">
  <si>
    <t>Африка</t>
  </si>
  <si>
    <t>Регион</t>
  </si>
  <si>
    <t>№</t>
  </si>
  <si>
    <t>Страна</t>
  </si>
  <si>
    <t>Океания</t>
  </si>
  <si>
    <t>Латинская и Южная Америка</t>
  </si>
  <si>
    <t>Ближнее зарубежье</t>
  </si>
  <si>
    <t>АФГАНИСТАН</t>
  </si>
  <si>
    <t>АЛБАНИЯ</t>
  </si>
  <si>
    <t>АЛЖИР</t>
  </si>
  <si>
    <t>АНДОРРА</t>
  </si>
  <si>
    <t>АНГОЛА</t>
  </si>
  <si>
    <t>АНТИГУА И БАРБУДА</t>
  </si>
  <si>
    <t>АЗЕРБАЙДЖАН</t>
  </si>
  <si>
    <t>АРГЕНТИНА</t>
  </si>
  <si>
    <t>АВСТРАЛИЯ</t>
  </si>
  <si>
    <t>АВСТРИЯ</t>
  </si>
  <si>
    <t>БАГАМЫ</t>
  </si>
  <si>
    <t>БАХРЕЙН</t>
  </si>
  <si>
    <t>БАНГЛАДЕШ</t>
  </si>
  <si>
    <t>АРМЕНИЯ</t>
  </si>
  <si>
    <t>БАРБАДОС</t>
  </si>
  <si>
    <t>БЕЛЬГИЯ</t>
  </si>
  <si>
    <t>БУТАН</t>
  </si>
  <si>
    <t>БОЛИВИЯ, МНОГОНАЦИОНАЛЬНОЕ ГОСУДАРСТВО</t>
  </si>
  <si>
    <t>БОСНИЯ И ГЕРЦЕГОВИНА</t>
  </si>
  <si>
    <t>БОТСВАНА</t>
  </si>
  <si>
    <t>БРАЗИЛИЯ</t>
  </si>
  <si>
    <t>БЕЛИЗ</t>
  </si>
  <si>
    <t>СОЛОМОНОВЫ ОСТРОВА</t>
  </si>
  <si>
    <t>БРУНЕЙ-ДАРУССАЛАМ</t>
  </si>
  <si>
    <t>БОЛГАРИЯ</t>
  </si>
  <si>
    <t>МЬЯНМА</t>
  </si>
  <si>
    <t>БУРУНДИ</t>
  </si>
  <si>
    <t>БЕЛАРУСЬ</t>
  </si>
  <si>
    <t>КАМБОДЖА</t>
  </si>
  <si>
    <t>КАМЕРУН</t>
  </si>
  <si>
    <t>КАНАДА</t>
  </si>
  <si>
    <t>КАБО-ВЕРДЕ</t>
  </si>
  <si>
    <t>ЦЕНТРАЛЬНО-АФРИКАНСКАЯ РЕСПУБЛИКА</t>
  </si>
  <si>
    <t>ШРИ-ЛАНКА</t>
  </si>
  <si>
    <t>ЧАД</t>
  </si>
  <si>
    <t>ЧИЛИ</t>
  </si>
  <si>
    <t>КИТАЙ</t>
  </si>
  <si>
    <t>ТАЙВАНЬ (КИТАЙ)</t>
  </si>
  <si>
    <t>КОЛУМБИЯ</t>
  </si>
  <si>
    <t>КОМОРЫ</t>
  </si>
  <si>
    <t>КОНГО</t>
  </si>
  <si>
    <t>КОНГО, ДЕМОКРАТИЧЕСКАЯ РЕСПУБЛИКА</t>
  </si>
  <si>
    <t>КОСТА-РИКА</t>
  </si>
  <si>
    <t>ХОРВАТИЯ</t>
  </si>
  <si>
    <t>КУБА</t>
  </si>
  <si>
    <t>КИПР</t>
  </si>
  <si>
    <t>ЧЕХИЯ</t>
  </si>
  <si>
    <t>БЕНИН</t>
  </si>
  <si>
    <t>ДАНИЯ</t>
  </si>
  <si>
    <t>ДОМИНИКА</t>
  </si>
  <si>
    <t>ДОМИНИКАНСКАЯ РЕСПУБЛИКА</t>
  </si>
  <si>
    <t>ЭКВАДОР</t>
  </si>
  <si>
    <t>ЭКВАТОРИАЛЬНАЯ ГВИНЕЯ</t>
  </si>
  <si>
    <t>ЭФИОПИЯ</t>
  </si>
  <si>
    <t>ЭРИТРЕЯ</t>
  </si>
  <si>
    <t>ЭСТОНИЯ</t>
  </si>
  <si>
    <t>ФИДЖИ</t>
  </si>
  <si>
    <t>ФИНЛЯНДИЯ</t>
  </si>
  <si>
    <t>ФРАНЦИЯ</t>
  </si>
  <si>
    <t>ДЖИБУТИ</t>
  </si>
  <si>
    <t>ГАБОН</t>
  </si>
  <si>
    <t>ГРУЗИЯ</t>
  </si>
  <si>
    <t>ГАМБИЯ</t>
  </si>
  <si>
    <t>ПАЛЕСТИНА, ГОСУДАРСТВО</t>
  </si>
  <si>
    <t>ГЕРМАНИЯ</t>
  </si>
  <si>
    <t>ГАНА</t>
  </si>
  <si>
    <t>ГИБРАЛТАР</t>
  </si>
  <si>
    <t>КИРИБАТИ</t>
  </si>
  <si>
    <t>ГРЕЦИЯ</t>
  </si>
  <si>
    <t>ГРЕНЛАНДИЯ</t>
  </si>
  <si>
    <t>ГРЕНАДА</t>
  </si>
  <si>
    <t>ГВАДЕЛУПА</t>
  </si>
  <si>
    <t>ГУАМ</t>
  </si>
  <si>
    <t>ГВАТЕМАЛА</t>
  </si>
  <si>
    <t>ГВИНЕЯ</t>
  </si>
  <si>
    <t>ГАЙАНА</t>
  </si>
  <si>
    <t>ГАИТИ</t>
  </si>
  <si>
    <t>ГОНДУРАС</t>
  </si>
  <si>
    <t>ГОНКОНГ</t>
  </si>
  <si>
    <t>ВЕНГРИЯ</t>
  </si>
  <si>
    <t>ИСЛАНДИЯ</t>
  </si>
  <si>
    <t>ИНДИЯ</t>
  </si>
  <si>
    <t>ИНДОНЕЗИЯ</t>
  </si>
  <si>
    <t>ИРАН (ИСЛАМСКАЯ РЕСПУБЛИКА)</t>
  </si>
  <si>
    <t>ИРАК</t>
  </si>
  <si>
    <t>ИРЛАНДИЯ</t>
  </si>
  <si>
    <t>ИЗРАИЛЬ</t>
  </si>
  <si>
    <t>ИТАЛИЯ</t>
  </si>
  <si>
    <t>КОТ Д'ИВУАР</t>
  </si>
  <si>
    <t>ЯМАЙКА</t>
  </si>
  <si>
    <t>ЯПОНИЯ</t>
  </si>
  <si>
    <t>КАЗАХСТАН</t>
  </si>
  <si>
    <t>ИОРДАНИЯ</t>
  </si>
  <si>
    <t>КЕНИЯ</t>
  </si>
  <si>
    <t>КОРЕЯ, НАРОДНО-ДЕМОКРАТИЧЕСКАЯ РЕСПУБЛИКА</t>
  </si>
  <si>
    <t>КОРЕЯ, РЕСПУБЛИКА</t>
  </si>
  <si>
    <t>КУВЕЙТ</t>
  </si>
  <si>
    <t>КИРГИЗИЯ</t>
  </si>
  <si>
    <t>ЛИВАН</t>
  </si>
  <si>
    <t>ЛЕСОТО</t>
  </si>
  <si>
    <t>ЛАТВИЯ</t>
  </si>
  <si>
    <t>ЛИБЕРИЯ</t>
  </si>
  <si>
    <t>ЛИВИЯ</t>
  </si>
  <si>
    <t>ЛИХТЕНШТЕЙН</t>
  </si>
  <si>
    <t>ЛИТВА</t>
  </si>
  <si>
    <t>ЛЮКСЕМБУРГ</t>
  </si>
  <si>
    <t>МАКАО</t>
  </si>
  <si>
    <t>МАДАГАСКАР</t>
  </si>
  <si>
    <t>МАЛАВИ</t>
  </si>
  <si>
    <t>МАЛАЙЗИЯ</t>
  </si>
  <si>
    <t>МАЛИ</t>
  </si>
  <si>
    <t>МАЛЬТА</t>
  </si>
  <si>
    <t>МАВРИТАНИЯ</t>
  </si>
  <si>
    <t>МАВРИКИЙ</t>
  </si>
  <si>
    <t>МЕКСИКА</t>
  </si>
  <si>
    <t>МОНАКО</t>
  </si>
  <si>
    <t>МОНГОЛИЯ</t>
  </si>
  <si>
    <t>МОЛДОВА, РЕСПУБЛИКА</t>
  </si>
  <si>
    <t>ЧЕРНОГОРИЯ</t>
  </si>
  <si>
    <t>МАРОККО</t>
  </si>
  <si>
    <t>МОЗАМБИК</t>
  </si>
  <si>
    <t>ОМАН</t>
  </si>
  <si>
    <t>НАМИБИЯ</t>
  </si>
  <si>
    <t>НАУРУ</t>
  </si>
  <si>
    <t>НЕПАЛ</t>
  </si>
  <si>
    <t>НИДЕРЛАНДЫ</t>
  </si>
  <si>
    <t>КЮРАСАО</t>
  </si>
  <si>
    <t>НОВАЯ КАЛЕДОНИЯ</t>
  </si>
  <si>
    <t>ВАНУАТУ</t>
  </si>
  <si>
    <t>НОВАЯ ЗЕЛАНДИЯ</t>
  </si>
  <si>
    <t>НИКАРАГУА</t>
  </si>
  <si>
    <t>НИГЕР</t>
  </si>
  <si>
    <t>НИГЕРИЯ</t>
  </si>
  <si>
    <t>НИУЭ</t>
  </si>
  <si>
    <t>НОРВЕГИЯ</t>
  </si>
  <si>
    <t>МИКРОНЕЗИЯ, ФЕДЕРАТИВНЫЕ ШТАТЫ</t>
  </si>
  <si>
    <t>МАРШАЛЛОВЫ ОСТРОВА</t>
  </si>
  <si>
    <t>ПАЛАУ</t>
  </si>
  <si>
    <t>ПАКИСТАН</t>
  </si>
  <si>
    <t>ПАНАМА</t>
  </si>
  <si>
    <t>ПАПУА-НОВАЯ ГВИНЕЯ</t>
  </si>
  <si>
    <t>ПАРАГВАЙ</t>
  </si>
  <si>
    <t>ПЕРУ</t>
  </si>
  <si>
    <t>ФИЛИППИНЫ</t>
  </si>
  <si>
    <t>ПОЛЬША</t>
  </si>
  <si>
    <t>ПОРТУГАЛИЯ</t>
  </si>
  <si>
    <t>ГВИНЕЯ-БИСАУ</t>
  </si>
  <si>
    <t>ТИМОР-ЛЕСТЕ</t>
  </si>
  <si>
    <t>ПУЭРТО-РИКО</t>
  </si>
  <si>
    <t>КАТАР</t>
  </si>
  <si>
    <t>РУМЫНИЯ</t>
  </si>
  <si>
    <t>РУАНДА</t>
  </si>
  <si>
    <t>СЕНТ-КИТС И НЕВИС</t>
  </si>
  <si>
    <t>СЕНТ-ЛЮСИЯ</t>
  </si>
  <si>
    <t>СЕНТ-ВИНСЕНТ И ГРЕНАДИНЫ</t>
  </si>
  <si>
    <t>САН-МАРИНО</t>
  </si>
  <si>
    <t>САН-ТОМЕ И ПРИНСИПИ</t>
  </si>
  <si>
    <t>САУДОВСКАЯ АРАВИЯ</t>
  </si>
  <si>
    <t>СЕНЕГАЛ</t>
  </si>
  <si>
    <t>СЕРБИЯ</t>
  </si>
  <si>
    <t>СЕЙШЕЛЫ</t>
  </si>
  <si>
    <t>СЬЕРРА-ЛЕОНЕ</t>
  </si>
  <si>
    <t>СИНГАПУР</t>
  </si>
  <si>
    <t>СЛОВАКИЯ</t>
  </si>
  <si>
    <t>ВЬЕТНАМ</t>
  </si>
  <si>
    <t>СЛОВЕНИЯ</t>
  </si>
  <si>
    <t>СОМАЛИ</t>
  </si>
  <si>
    <t>ЗИМБАБВЕ</t>
  </si>
  <si>
    <t>ИСПАНИЯ</t>
  </si>
  <si>
    <t>СУДАН</t>
  </si>
  <si>
    <t>СУРИНАМ</t>
  </si>
  <si>
    <t>ШПИЦБЕРГЕН И ЯН МАЙЕН</t>
  </si>
  <si>
    <t>ЭСВАТИНИ</t>
  </si>
  <si>
    <t>ШВЕЦИЯ</t>
  </si>
  <si>
    <t>ШВЕЙЦАРИЯ</t>
  </si>
  <si>
    <t>СИРИЙСКАЯ АРАБСКАЯ РЕСПУБЛИКА</t>
  </si>
  <si>
    <t>ТАДЖИКИСТАН</t>
  </si>
  <si>
    <t>ТАИЛАНД</t>
  </si>
  <si>
    <t>ТОГО</t>
  </si>
  <si>
    <t>ТОНГА</t>
  </si>
  <si>
    <t>ТРИНИДАД И ТОБАГО</t>
  </si>
  <si>
    <t>ОБЪЕДИНЕННЫЕ АРАБСКИЕ ЭМИРАТЫ</t>
  </si>
  <si>
    <t>ТУНИС</t>
  </si>
  <si>
    <t>ТУРЦИЯ</t>
  </si>
  <si>
    <t>ТУРКМЕНИСТАН</t>
  </si>
  <si>
    <t>ТУВАЛУ</t>
  </si>
  <si>
    <t>УГАНДА</t>
  </si>
  <si>
    <t>УКРАИНА</t>
  </si>
  <si>
    <t>СЕВЕРНАЯ МАКЕДОНИЯ</t>
  </si>
  <si>
    <t>ЕГИПЕТ</t>
  </si>
  <si>
    <t>ДЖЕРСИ</t>
  </si>
  <si>
    <t>ТАНЗАНИЯ, ОБЪЕДИНЕННАЯ РЕСПУБЛИКА</t>
  </si>
  <si>
    <t>БУРКИНА-ФАСО</t>
  </si>
  <si>
    <t>УРУГВАЙ</t>
  </si>
  <si>
    <t>УЗБЕКИСТАН</t>
  </si>
  <si>
    <t>ВЕНЕСУЭЛА (БОЛИВАРИАНСКАЯ РЕСПУБЛИКА)</t>
  </si>
  <si>
    <t>САМОА</t>
  </si>
  <si>
    <t>ЙЕМЕН</t>
  </si>
  <si>
    <t>ЗАМБИЯ</t>
  </si>
  <si>
    <t>АБХАЗИЯ</t>
  </si>
  <si>
    <t>ЮЖНАЯ ОСЕТИЯ</t>
  </si>
  <si>
    <t>ЮЖНЫЙ СУДАН</t>
  </si>
  <si>
    <t>Европа</t>
  </si>
  <si>
    <t>Азия</t>
  </si>
  <si>
    <t>Северная Америка</t>
  </si>
  <si>
    <t>Ближний Восток</t>
  </si>
  <si>
    <t>Способ доставки</t>
  </si>
  <si>
    <t>Комментарий</t>
  </si>
  <si>
    <t>Страна, куда закрыт прием почтовых отправлений</t>
  </si>
  <si>
    <t>Страна, куда доставляются почтовые отправления</t>
  </si>
  <si>
    <t>Доставка наземным транспортом</t>
  </si>
  <si>
    <t>Доставка авиатранспортом</t>
  </si>
  <si>
    <t>сроки будут определены по мере разработки и запуска логистических решений</t>
  </si>
  <si>
    <t>Логистическое решение  по доставке в страну временно отсутствует</t>
  </si>
  <si>
    <t>30-40 дней</t>
  </si>
  <si>
    <t>10-25 дней</t>
  </si>
  <si>
    <t>25-35 дней</t>
  </si>
  <si>
    <t>20-30 дней</t>
  </si>
  <si>
    <t>15-25 дней</t>
  </si>
  <si>
    <t>15-30 дней</t>
  </si>
  <si>
    <t>30-45 дней</t>
  </si>
  <si>
    <t>25-40 дней</t>
  </si>
  <si>
    <t>10-30 дней</t>
  </si>
  <si>
    <t>15-35 дней</t>
  </si>
  <si>
    <t>20-35 дней</t>
  </si>
  <si>
    <t>Доставка авиатранспортом *</t>
  </si>
  <si>
    <t>ЛАОС</t>
  </si>
  <si>
    <t>ВАТИКАН</t>
  </si>
  <si>
    <t>ВЕЛИКОБРИТАНИЯ</t>
  </si>
  <si>
    <t>СОЕДИНЕННЫЕ ШТАТЫ АМЕРИКИ</t>
  </si>
  <si>
    <t>САЛЬВАДОР</t>
  </si>
  <si>
    <t>ЮЖНО-АФРИКАНСКАЯ РЕСПУБЛИКА</t>
  </si>
  <si>
    <t>МАЛЬДИВЫ</t>
  </si>
  <si>
    <t>* Почта Эстонии приостановила прием EMS отправлений из РФ</t>
  </si>
  <si>
    <t>* Доставка до Европы авто</t>
  </si>
  <si>
    <t>Доставка возможна наземным и авиа транспортом</t>
  </si>
  <si>
    <t>БЕРМУДЫ</t>
  </si>
  <si>
    <t>КАЙМАНОВЫ ОСТРОВА</t>
  </si>
  <si>
    <t>Мелкий Пакет</t>
  </si>
  <si>
    <t>EMS мжд</t>
  </si>
  <si>
    <t>Да</t>
  </si>
  <si>
    <t>Нет</t>
  </si>
  <si>
    <t>Посылка мжд наземная</t>
  </si>
  <si>
    <t>Посылка мжд авиа</t>
  </si>
  <si>
    <t>Мешки М</t>
  </si>
  <si>
    <t>12-20 дней</t>
  </si>
  <si>
    <t>14-17 дней</t>
  </si>
  <si>
    <t>18-32 дней</t>
  </si>
  <si>
    <t>10-15 дней</t>
  </si>
  <si>
    <t>10-20 дней</t>
  </si>
  <si>
    <t>35-45 дней</t>
  </si>
  <si>
    <t>15-20 дней</t>
  </si>
  <si>
    <t>13-40 дней</t>
  </si>
  <si>
    <t>СЕН-БАРТЕЛЕМИ</t>
  </si>
  <si>
    <t>Ориентировочный срок доставки (календарных дней)</t>
  </si>
  <si>
    <t>35-50 дней</t>
  </si>
  <si>
    <t>7-12 дней</t>
  </si>
  <si>
    <t>Письма, Почтовые карточки</t>
  </si>
  <si>
    <t>Бандероли</t>
  </si>
  <si>
    <t>Да*</t>
  </si>
  <si>
    <t>Доставка авиатранспортом*</t>
  </si>
  <si>
    <r>
      <t xml:space="preserve">* Письменная корреспонденция, а также подарки, коммерческие образцы и документы доставляются. 
</t>
    </r>
    <r>
      <rPr>
        <u/>
        <sz val="11"/>
        <color theme="1"/>
        <rFont val="Calibri"/>
        <family val="2"/>
        <charset val="204"/>
        <scheme val="minor"/>
      </rPr>
      <t>Товары на продажу не  доставляются.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</si>
</sst>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1" fillId="0" borderId="1" xfId="0" applyFont="1" applyBorder="1"/>
    <xf numFmtId="0" fontId="1" fillId="0" borderId="0" xfId="0" applyFont="1" applyBorder="1" applyAlignment="1">
      <alignment vertical="top"/>
    </xf>
    <xf numFmtId="0" fontId="1" fillId="3" borderId="1" xfId="0" applyFont="1" applyFill="1" applyBorder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/>
    <xf numFmtId="0" fontId="2" fillId="2" borderId="1" xfId="0" applyFont="1" applyFill="1" applyBorder="1" applyAlignment="1">
      <alignment vertical="top"/>
    </xf>
    <xf numFmtId="0" fontId="0" fillId="2" borderId="1" xfId="0" applyFill="1" applyBorder="1"/>
    <xf numFmtId="0" fontId="0" fillId="4" borderId="1" xfId="0" applyFill="1" applyBorder="1" applyAlignment="1"/>
    <xf numFmtId="0" fontId="0" fillId="4" borderId="1" xfId="0" applyFill="1" applyBorder="1"/>
    <xf numFmtId="0" fontId="0" fillId="4" borderId="0" xfId="0" applyFill="1"/>
    <xf numFmtId="0" fontId="1" fillId="4" borderId="1" xfId="0" applyFont="1" applyFill="1" applyBorder="1"/>
    <xf numFmtId="0" fontId="1" fillId="3" borderId="1" xfId="0" applyFont="1" applyFill="1" applyBorder="1" applyAlignment="1">
      <alignment vertical="top"/>
    </xf>
    <xf numFmtId="0" fontId="0" fillId="4" borderId="1" xfId="0" applyFill="1" applyBorder="1" applyAlignment="1">
      <alignment horizontal="left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3" fillId="4" borderId="1" xfId="0" applyFont="1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kina_O/AppData/Local/Microsoft/Windows/INetCache/Content.Outlook/E3AZHOPM/&#1057;&#1088;&#1086;&#1082;&#1080;%20&#1076;&#1086;&#1089;&#1090;&#1072;&#1074;&#1082;&#1080;%20&#1089;%20&#1084;&#1072;&#1090;&#1088;&#1080;&#1094;&#1077;&#1081;%20&#1087;&#1088;&#1086;&#1076;&#1091;&#1082;&#1090;&#1086;&#1074;_21.04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аны"/>
    </sheetNames>
    <sheetDataSet>
      <sheetData sheetId="0">
        <row r="4">
          <cell r="C4" t="str">
            <v>Страна</v>
          </cell>
          <cell r="D4" t="str">
            <v>Ориентировочный срок доставки в почтовую администрацию страны назначения (календарных дней)</v>
          </cell>
          <cell r="E4" t="str">
            <v>Способ доставки</v>
          </cell>
          <cell r="F4" t="str">
            <v>Мелкий Пакет</v>
          </cell>
          <cell r="G4" t="str">
            <v>Посылка мжд наземная</v>
          </cell>
          <cell r="H4" t="str">
            <v>Посылка мжд авиа</v>
          </cell>
          <cell r="I4" t="str">
            <v>EMS мжд</v>
          </cell>
          <cell r="J4" t="str">
            <v>Мешки М</v>
          </cell>
          <cell r="K4" t="str">
            <v>Письма, Почтовые карточки</v>
          </cell>
          <cell r="L4" t="str">
            <v>Бандероли</v>
          </cell>
          <cell r="M4" t="str">
            <v>Комментарий</v>
          </cell>
        </row>
        <row r="5">
          <cell r="C5" t="str">
            <v>АБХАЗИЯ</v>
          </cell>
          <cell r="D5" t="str">
            <v>20-30 дней</v>
          </cell>
          <cell r="E5" t="str">
            <v>Доставка наземным транспортом</v>
          </cell>
          <cell r="F5" t="str">
            <v>Да</v>
          </cell>
          <cell r="G5" t="str">
            <v>Да</v>
          </cell>
          <cell r="H5" t="str">
            <v>Нет</v>
          </cell>
          <cell r="I5" t="str">
            <v>Нет</v>
          </cell>
          <cell r="J5" t="str">
            <v>Да</v>
          </cell>
          <cell r="K5" t="str">
            <v>Да</v>
          </cell>
          <cell r="L5" t="str">
            <v>Да</v>
          </cell>
        </row>
        <row r="6">
          <cell r="C6" t="str">
            <v>АВСТРАЛИЯ</v>
          </cell>
          <cell r="D6" t="str">
            <v>сроки будут определены по мере разработки и запуска логистических решений</v>
          </cell>
          <cell r="E6" t="str">
            <v>Логистическое решение  по доставке в страну временно отсутствует</v>
          </cell>
          <cell r="F6" t="str">
            <v>Нет</v>
          </cell>
          <cell r="G6" t="str">
            <v>Нет</v>
          </cell>
          <cell r="H6" t="str">
            <v>Нет</v>
          </cell>
          <cell r="I6" t="str">
            <v>Нет</v>
          </cell>
          <cell r="J6" t="str">
            <v>Нет</v>
          </cell>
          <cell r="K6" t="str">
            <v>Нет</v>
          </cell>
          <cell r="L6" t="str">
            <v>Нет</v>
          </cell>
        </row>
        <row r="7">
          <cell r="C7" t="str">
            <v>АВСТРИЯ</v>
          </cell>
          <cell r="D7" t="str">
            <v>15-30 дней</v>
          </cell>
          <cell r="E7" t="str">
            <v>Доставка возможна наземным и авиа транспортом</v>
          </cell>
          <cell r="F7" t="str">
            <v>Да</v>
          </cell>
          <cell r="G7" t="str">
            <v>Да</v>
          </cell>
          <cell r="H7" t="str">
            <v>Да</v>
          </cell>
          <cell r="I7" t="str">
            <v>Да</v>
          </cell>
          <cell r="J7" t="str">
            <v>Нет</v>
          </cell>
          <cell r="K7" t="str">
            <v>Да</v>
          </cell>
          <cell r="L7" t="str">
            <v>Да</v>
          </cell>
        </row>
        <row r="8">
          <cell r="C8" t="str">
            <v>АЗЕРБАЙДЖАН</v>
          </cell>
          <cell r="D8" t="str">
            <v>15-30 дней</v>
          </cell>
          <cell r="E8" t="str">
            <v>Доставка авиатранспортом</v>
          </cell>
          <cell r="F8" t="str">
            <v>Да</v>
          </cell>
          <cell r="G8" t="str">
            <v>Нет</v>
          </cell>
          <cell r="H8" t="str">
            <v>Да</v>
          </cell>
          <cell r="I8" t="str">
            <v>Да</v>
          </cell>
          <cell r="J8" t="str">
            <v>Да</v>
          </cell>
          <cell r="K8" t="str">
            <v>Да</v>
          </cell>
          <cell r="L8" t="str">
            <v>Да</v>
          </cell>
        </row>
        <row r="9">
          <cell r="C9" t="str">
            <v>АЛБАНИЯ</v>
          </cell>
          <cell r="D9" t="str">
            <v>15-30 дней</v>
          </cell>
          <cell r="E9" t="str">
            <v>Доставка авиатранспортом</v>
          </cell>
          <cell r="F9" t="str">
            <v>Да</v>
          </cell>
          <cell r="G9" t="str">
            <v>Нет</v>
          </cell>
          <cell r="H9" t="str">
            <v>Да</v>
          </cell>
          <cell r="I9" t="str">
            <v>Да</v>
          </cell>
          <cell r="J9" t="str">
            <v>Да</v>
          </cell>
          <cell r="K9" t="str">
            <v>Да</v>
          </cell>
          <cell r="L9" t="str">
            <v>Да</v>
          </cell>
        </row>
        <row r="10">
          <cell r="C10" t="str">
            <v>АЛЖИР</v>
          </cell>
          <cell r="D10" t="str">
            <v>25-40 дней</v>
          </cell>
          <cell r="E10" t="str">
            <v>Доставка авиатранспортом</v>
          </cell>
          <cell r="F10" t="str">
            <v>Да</v>
          </cell>
          <cell r="G10" t="str">
            <v>Нет</v>
          </cell>
          <cell r="H10" t="str">
            <v>Да</v>
          </cell>
          <cell r="I10" t="str">
            <v>Да</v>
          </cell>
          <cell r="J10" t="str">
            <v>Да</v>
          </cell>
          <cell r="K10" t="str">
            <v>Да</v>
          </cell>
          <cell r="L10" t="str">
            <v>Да</v>
          </cell>
        </row>
        <row r="11">
          <cell r="C11" t="str">
            <v>АНГОЛА</v>
          </cell>
          <cell r="D11" t="str">
            <v>25-40 дней</v>
          </cell>
          <cell r="E11" t="str">
            <v>Доставка авиатранспортом</v>
          </cell>
          <cell r="F11" t="str">
            <v>Нет</v>
          </cell>
          <cell r="G11" t="str">
            <v>Нет</v>
          </cell>
          <cell r="H11" t="str">
            <v>Нет</v>
          </cell>
          <cell r="I11" t="str">
            <v>Да</v>
          </cell>
          <cell r="J11" t="str">
            <v>Нет</v>
          </cell>
          <cell r="K11" t="str">
            <v>Да</v>
          </cell>
          <cell r="L11" t="str">
            <v>Да</v>
          </cell>
        </row>
        <row r="12">
          <cell r="C12" t="str">
            <v>АНДОРРА</v>
          </cell>
          <cell r="D12" t="str">
            <v>25-35 дней</v>
          </cell>
          <cell r="E12" t="str">
            <v>Доставка возможна наземным и авиа транспортом</v>
          </cell>
          <cell r="F12" t="str">
            <v>Да</v>
          </cell>
          <cell r="G12" t="str">
            <v>Да</v>
          </cell>
          <cell r="H12" t="str">
            <v>Да</v>
          </cell>
          <cell r="I12" t="str">
            <v>Да</v>
          </cell>
          <cell r="J12" t="str">
            <v>Да</v>
          </cell>
          <cell r="K12" t="str">
            <v>Да</v>
          </cell>
          <cell r="L12" t="str">
            <v>Да</v>
          </cell>
        </row>
        <row r="13">
          <cell r="C13" t="str">
            <v>АНТИГУА И БАРБУДА</v>
          </cell>
          <cell r="D13" t="str">
            <v>сроки будут определены по мере разработки и запуска логистических решений</v>
          </cell>
          <cell r="E13" t="str">
            <v>Логистическое решение  по доставке в страну временно отсутствует</v>
          </cell>
          <cell r="F13" t="str">
            <v>Нет</v>
          </cell>
          <cell r="G13" t="str">
            <v>Нет</v>
          </cell>
          <cell r="H13" t="str">
            <v>Нет</v>
          </cell>
          <cell r="I13" t="str">
            <v>Нет</v>
          </cell>
          <cell r="J13" t="str">
            <v>Нет</v>
          </cell>
          <cell r="K13" t="str">
            <v>Нет</v>
          </cell>
          <cell r="L13" t="str">
            <v>Нет</v>
          </cell>
        </row>
        <row r="14">
          <cell r="C14" t="str">
            <v>АРГЕНТИНА</v>
          </cell>
          <cell r="D14" t="str">
            <v>15-35 дней</v>
          </cell>
          <cell r="E14" t="str">
            <v>Доставка авиатранспортом</v>
          </cell>
          <cell r="F14" t="str">
            <v>Да</v>
          </cell>
          <cell r="G14" t="str">
            <v>Нет</v>
          </cell>
          <cell r="H14" t="str">
            <v>Да</v>
          </cell>
          <cell r="I14" t="str">
            <v>Да</v>
          </cell>
          <cell r="J14" t="str">
            <v>Да</v>
          </cell>
          <cell r="K14" t="str">
            <v>Да</v>
          </cell>
          <cell r="L14" t="str">
            <v>Да</v>
          </cell>
        </row>
        <row r="15">
          <cell r="C15" t="str">
            <v>АРМЕНИЯ</v>
          </cell>
          <cell r="D15" t="str">
            <v>15-30 дней</v>
          </cell>
          <cell r="E15" t="str">
            <v>Доставка авиатранспортом</v>
          </cell>
          <cell r="F15" t="str">
            <v>Да</v>
          </cell>
          <cell r="G15" t="str">
            <v>Да</v>
          </cell>
          <cell r="H15" t="str">
            <v>Да</v>
          </cell>
          <cell r="I15" t="str">
            <v>Да</v>
          </cell>
          <cell r="J15" t="str">
            <v>Да</v>
          </cell>
          <cell r="K15" t="str">
            <v>Да</v>
          </cell>
          <cell r="L15" t="str">
            <v>Да</v>
          </cell>
        </row>
        <row r="16">
          <cell r="C16" t="str">
            <v>АФГАНИСТАН</v>
          </cell>
          <cell r="D16" t="str">
            <v>20-30 дней</v>
          </cell>
          <cell r="E16" t="str">
            <v>Доставка авиатранспортом</v>
          </cell>
          <cell r="F16" t="str">
            <v>Да</v>
          </cell>
          <cell r="G16" t="str">
            <v>Нет</v>
          </cell>
          <cell r="H16" t="str">
            <v>Да</v>
          </cell>
          <cell r="I16" t="str">
            <v>Да</v>
          </cell>
          <cell r="J16" t="str">
            <v>Да</v>
          </cell>
          <cell r="K16" t="str">
            <v>Да</v>
          </cell>
          <cell r="L16" t="str">
            <v>Да</v>
          </cell>
        </row>
        <row r="17">
          <cell r="C17" t="str">
            <v>БАГАМЫ</v>
          </cell>
          <cell r="D17" t="str">
            <v>сроки будут определены по мере разработки и запуска логистических решений</v>
          </cell>
          <cell r="E17" t="str">
            <v>Логистическое решение  по доставке в страну временно отсутствует</v>
          </cell>
          <cell r="F17" t="str">
            <v>Нет</v>
          </cell>
          <cell r="G17" t="str">
            <v>Нет</v>
          </cell>
          <cell r="H17" t="str">
            <v>Нет</v>
          </cell>
          <cell r="I17" t="str">
            <v>Нет</v>
          </cell>
          <cell r="J17" t="str">
            <v>Нет</v>
          </cell>
          <cell r="K17" t="str">
            <v>Нет</v>
          </cell>
          <cell r="L17" t="str">
            <v>Нет</v>
          </cell>
        </row>
        <row r="18">
          <cell r="C18" t="str">
            <v>БАНГЛАДЕШ</v>
          </cell>
          <cell r="D18" t="str">
            <v>25-40 дней</v>
          </cell>
          <cell r="E18" t="str">
            <v>Доставка авиатранспортом</v>
          </cell>
          <cell r="F18" t="str">
            <v>Да</v>
          </cell>
          <cell r="G18" t="str">
            <v>Нет</v>
          </cell>
          <cell r="H18" t="str">
            <v>Да</v>
          </cell>
          <cell r="I18" t="str">
            <v>Да</v>
          </cell>
          <cell r="J18" t="str">
            <v>Да</v>
          </cell>
          <cell r="K18" t="str">
            <v>Да</v>
          </cell>
          <cell r="L18" t="str">
            <v>Да</v>
          </cell>
        </row>
        <row r="19">
          <cell r="C19" t="str">
            <v>БАРБАДОС</v>
          </cell>
          <cell r="D19" t="str">
            <v>сроки будут определены по мере разработки и запуска логистических решений</v>
          </cell>
          <cell r="E19" t="str">
            <v>Логистическое решение  по доставке в страну временно отсутствует</v>
          </cell>
          <cell r="F19" t="str">
            <v>Нет</v>
          </cell>
          <cell r="G19" t="str">
            <v>Нет</v>
          </cell>
          <cell r="H19" t="str">
            <v>Нет</v>
          </cell>
          <cell r="I19" t="str">
            <v>Нет</v>
          </cell>
          <cell r="J19" t="str">
            <v>Нет</v>
          </cell>
          <cell r="K19" t="str">
            <v>Нет</v>
          </cell>
          <cell r="L19" t="str">
            <v>Нет</v>
          </cell>
        </row>
        <row r="20">
          <cell r="C20" t="str">
            <v>БАХРЕЙН</v>
          </cell>
          <cell r="D20" t="str">
            <v>20-30 дней</v>
          </cell>
          <cell r="E20" t="str">
            <v>Доставка авиатранспортом</v>
          </cell>
          <cell r="F20" t="str">
            <v>Да</v>
          </cell>
          <cell r="G20" t="str">
            <v>Нет</v>
          </cell>
          <cell r="H20" t="str">
            <v>Да</v>
          </cell>
          <cell r="I20" t="str">
            <v>Да</v>
          </cell>
          <cell r="J20" t="str">
            <v>Да</v>
          </cell>
          <cell r="K20" t="str">
            <v>Да</v>
          </cell>
          <cell r="L20" t="str">
            <v>Да</v>
          </cell>
        </row>
        <row r="21">
          <cell r="C21" t="str">
            <v>БЕЛАРУСЬ</v>
          </cell>
          <cell r="D21" t="str">
            <v>5-15 дней</v>
          </cell>
          <cell r="E21" t="str">
            <v>Доставка возможна наземным и авиа транспортом</v>
          </cell>
          <cell r="F21" t="str">
            <v>Да</v>
          </cell>
          <cell r="G21" t="str">
            <v>Да</v>
          </cell>
          <cell r="H21" t="str">
            <v>Да</v>
          </cell>
          <cell r="I21" t="str">
            <v>Да</v>
          </cell>
          <cell r="J21" t="str">
            <v>Да</v>
          </cell>
          <cell r="K21" t="str">
            <v>Да</v>
          </cell>
          <cell r="L21" t="str">
            <v>Да</v>
          </cell>
        </row>
        <row r="22">
          <cell r="C22" t="str">
            <v>БЕЛИЗ</v>
          </cell>
          <cell r="D22" t="str">
            <v>сроки будут определены по мере разработки и запуска логистических решений</v>
          </cell>
          <cell r="E22" t="str">
            <v>Логистическое решение  по доставке в страну временно отсутствует</v>
          </cell>
          <cell r="F22" t="str">
            <v>Нет</v>
          </cell>
          <cell r="G22" t="str">
            <v>Нет</v>
          </cell>
          <cell r="H22" t="str">
            <v>Нет</v>
          </cell>
          <cell r="I22" t="str">
            <v>Нет</v>
          </cell>
          <cell r="J22" t="str">
            <v>Нет</v>
          </cell>
          <cell r="K22" t="str">
            <v>Нет</v>
          </cell>
          <cell r="L22" t="str">
            <v>Нет</v>
          </cell>
        </row>
        <row r="23">
          <cell r="C23" t="str">
            <v>БЕЛЬГИЯ</v>
          </cell>
          <cell r="D23" t="str">
            <v>15-30 дней</v>
          </cell>
          <cell r="E23" t="str">
            <v>Доставка возможна наземным и авиа транспортом</v>
          </cell>
          <cell r="F23" t="str">
            <v>Да</v>
          </cell>
          <cell r="G23" t="str">
            <v>Да</v>
          </cell>
          <cell r="H23" t="str">
            <v>Да</v>
          </cell>
          <cell r="I23" t="str">
            <v>Да</v>
          </cell>
          <cell r="J23" t="str">
            <v>Нет</v>
          </cell>
          <cell r="K23" t="str">
            <v>Да</v>
          </cell>
          <cell r="L23" t="str">
            <v>Да</v>
          </cell>
        </row>
        <row r="24">
          <cell r="C24" t="str">
            <v>БЕРМУДЫ</v>
          </cell>
          <cell r="D24" t="str">
            <v>20-35 дней</v>
          </cell>
          <cell r="E24" t="str">
            <v>Доставка авиатранспортом</v>
          </cell>
          <cell r="F24" t="str">
            <v>Нет</v>
          </cell>
          <cell r="G24" t="str">
            <v>Нет</v>
          </cell>
          <cell r="H24" t="str">
            <v>Нет</v>
          </cell>
          <cell r="I24" t="str">
            <v>Да</v>
          </cell>
          <cell r="J24" t="str">
            <v>Нет</v>
          </cell>
          <cell r="K24" t="str">
            <v>Да</v>
          </cell>
          <cell r="L24" t="str">
            <v>Да</v>
          </cell>
        </row>
        <row r="25">
          <cell r="C25" t="str">
            <v>БЕНИН</v>
          </cell>
          <cell r="D25" t="str">
            <v>25-40 дней</v>
          </cell>
          <cell r="E25" t="str">
            <v>Доставка авиатранспортом</v>
          </cell>
          <cell r="F25" t="str">
            <v>Нет</v>
          </cell>
          <cell r="G25" t="str">
            <v>Нет</v>
          </cell>
          <cell r="H25" t="str">
            <v>Нет</v>
          </cell>
          <cell r="I25" t="str">
            <v>Да</v>
          </cell>
          <cell r="J25" t="str">
            <v>Нет</v>
          </cell>
          <cell r="K25" t="str">
            <v>Да</v>
          </cell>
          <cell r="L25" t="str">
            <v>Да</v>
          </cell>
        </row>
        <row r="26">
          <cell r="C26" t="str">
            <v>БОЛГАРИЯ</v>
          </cell>
          <cell r="D26" t="str">
            <v>15-30 дней</v>
          </cell>
          <cell r="E26" t="str">
            <v>Доставка возможна наземным и авиа транспортом</v>
          </cell>
          <cell r="F26" t="str">
            <v>Да</v>
          </cell>
          <cell r="G26" t="str">
            <v>Да</v>
          </cell>
          <cell r="H26" t="str">
            <v>Да</v>
          </cell>
          <cell r="I26" t="str">
            <v>Да</v>
          </cell>
          <cell r="J26" t="str">
            <v>Да</v>
          </cell>
          <cell r="K26" t="str">
            <v>Да</v>
          </cell>
          <cell r="L26" t="str">
            <v>Да</v>
          </cell>
        </row>
        <row r="27">
          <cell r="C27" t="str">
            <v>БОЛИВИЯ, МНОГОНАЦИОНАЛЬНОЕ ГОСУДАРСТВО</v>
          </cell>
          <cell r="D27" t="str">
            <v>сроки будут определены по мере разработки и запуска логистических решений</v>
          </cell>
          <cell r="E27" t="str">
            <v>Логистическое решение  по доставке в страну временно отсутствует</v>
          </cell>
          <cell r="F27" t="str">
            <v>Нет</v>
          </cell>
          <cell r="G27" t="str">
            <v>Нет</v>
          </cell>
          <cell r="H27" t="str">
            <v>Нет</v>
          </cell>
          <cell r="I27" t="str">
            <v>Нет</v>
          </cell>
          <cell r="J27" t="str">
            <v>Нет</v>
          </cell>
          <cell r="K27" t="str">
            <v>Нет</v>
          </cell>
          <cell r="L27" t="str">
            <v>Нет</v>
          </cell>
        </row>
        <row r="28">
          <cell r="C28" t="str">
            <v>БОСНИЯ И ГЕРЦЕГОВИНА</v>
          </cell>
          <cell r="D28" t="str">
            <v>15-30 дней</v>
          </cell>
          <cell r="E28" t="str">
            <v>Доставка авиатранспортом</v>
          </cell>
          <cell r="F28" t="str">
            <v>Да</v>
          </cell>
          <cell r="G28" t="str">
            <v>Нет</v>
          </cell>
          <cell r="H28" t="str">
            <v>Да</v>
          </cell>
          <cell r="I28" t="str">
            <v>Да</v>
          </cell>
          <cell r="J28" t="str">
            <v>Да</v>
          </cell>
          <cell r="K28" t="str">
            <v>Да</v>
          </cell>
          <cell r="L28" t="str">
            <v>Да</v>
          </cell>
        </row>
        <row r="29">
          <cell r="C29" t="str">
            <v>БОТСВАНА</v>
          </cell>
          <cell r="D29" t="str">
            <v>25-40 дней</v>
          </cell>
          <cell r="E29" t="str">
            <v>Доставка авиатранспортом</v>
          </cell>
          <cell r="F29" t="str">
            <v>Нет</v>
          </cell>
          <cell r="G29" t="str">
            <v>Нет</v>
          </cell>
          <cell r="H29" t="str">
            <v>Нет</v>
          </cell>
          <cell r="I29" t="str">
            <v>Да</v>
          </cell>
          <cell r="J29" t="str">
            <v>Нет</v>
          </cell>
          <cell r="K29" t="str">
            <v>Да</v>
          </cell>
          <cell r="L29" t="str">
            <v>Да</v>
          </cell>
        </row>
        <row r="30">
          <cell r="C30" t="str">
            <v>БРАЗИЛИЯ</v>
          </cell>
          <cell r="D30" t="str">
            <v>15-35 дней</v>
          </cell>
          <cell r="E30" t="str">
            <v>Доставка авиатранспортом</v>
          </cell>
          <cell r="F30" t="str">
            <v>Да</v>
          </cell>
          <cell r="G30" t="str">
            <v>Нет</v>
          </cell>
          <cell r="H30" t="str">
            <v>Да</v>
          </cell>
          <cell r="I30" t="str">
            <v>Да</v>
          </cell>
          <cell r="J30" t="str">
            <v>Да</v>
          </cell>
          <cell r="K30" t="str">
            <v>Да</v>
          </cell>
          <cell r="L30" t="str">
            <v>Да</v>
          </cell>
        </row>
        <row r="31">
          <cell r="C31" t="str">
            <v>БРУНЕЙ-ДАРУССАЛАМ</v>
          </cell>
          <cell r="D31" t="str">
            <v>сроки будут определены по мере разработки и запуска логистических решений</v>
          </cell>
          <cell r="E31" t="str">
            <v>Логистическое решение  по доставке в страну временно отсутствует</v>
          </cell>
          <cell r="F31" t="str">
            <v>Нет</v>
          </cell>
          <cell r="G31" t="str">
            <v>Нет</v>
          </cell>
          <cell r="H31" t="str">
            <v>Нет</v>
          </cell>
          <cell r="I31" t="str">
            <v>Нет</v>
          </cell>
          <cell r="J31" t="str">
            <v>Нет</v>
          </cell>
          <cell r="K31" t="str">
            <v>Нет</v>
          </cell>
          <cell r="L31" t="str">
            <v>Нет</v>
          </cell>
        </row>
        <row r="32">
          <cell r="C32" t="str">
            <v>БУРКИНА-ФАСО</v>
          </cell>
          <cell r="D32" t="str">
            <v>25-40 дней</v>
          </cell>
          <cell r="E32" t="str">
            <v>Доставка авиатранспортом</v>
          </cell>
          <cell r="F32" t="str">
            <v>Нет</v>
          </cell>
          <cell r="G32" t="str">
            <v>Нет</v>
          </cell>
          <cell r="H32" t="str">
            <v>Нет</v>
          </cell>
          <cell r="I32" t="str">
            <v>Да</v>
          </cell>
          <cell r="J32" t="str">
            <v>Нет</v>
          </cell>
          <cell r="K32" t="str">
            <v>Да</v>
          </cell>
          <cell r="L32" t="str">
            <v>Да</v>
          </cell>
        </row>
        <row r="33">
          <cell r="C33" t="str">
            <v>БУРУНДИ</v>
          </cell>
          <cell r="D33" t="str">
            <v>25-40 дней</v>
          </cell>
          <cell r="E33" t="str">
            <v>Доставка авиатранспортом</v>
          </cell>
          <cell r="F33" t="str">
            <v>Нет</v>
          </cell>
          <cell r="G33" t="str">
            <v>Нет</v>
          </cell>
          <cell r="H33" t="str">
            <v>Нет</v>
          </cell>
          <cell r="I33" t="str">
            <v>Да</v>
          </cell>
          <cell r="J33" t="str">
            <v>Нет</v>
          </cell>
          <cell r="K33" t="str">
            <v>Да</v>
          </cell>
          <cell r="L33" t="str">
            <v>Да</v>
          </cell>
        </row>
        <row r="34">
          <cell r="C34" t="str">
            <v>БУТАН</v>
          </cell>
          <cell r="D34" t="str">
            <v>сроки будут определены по мере разработки и запуска логистических решений</v>
          </cell>
          <cell r="E34" t="str">
            <v>Логистическое решение  по доставке в страну временно отсутствует</v>
          </cell>
          <cell r="F34" t="str">
            <v>Нет</v>
          </cell>
          <cell r="G34" t="str">
            <v>Нет</v>
          </cell>
          <cell r="H34" t="str">
            <v>Нет</v>
          </cell>
          <cell r="I34" t="str">
            <v>Нет</v>
          </cell>
          <cell r="J34" t="str">
            <v>Нет</v>
          </cell>
          <cell r="K34" t="str">
            <v>Нет</v>
          </cell>
          <cell r="L34" t="str">
            <v>Нет</v>
          </cell>
        </row>
        <row r="35">
          <cell r="C35" t="str">
            <v>ВАНУАТУ</v>
          </cell>
          <cell r="D35" t="str">
            <v>сроки будут определены по мере разработки и запуска логистических решений</v>
          </cell>
          <cell r="E35" t="str">
            <v>Логистическое решение  по доставке в страну временно отсутствует</v>
          </cell>
          <cell r="F35" t="str">
            <v>Нет</v>
          </cell>
          <cell r="G35" t="str">
            <v>Нет</v>
          </cell>
          <cell r="H35" t="str">
            <v>Нет</v>
          </cell>
          <cell r="I35" t="str">
            <v>Нет</v>
          </cell>
          <cell r="J35" t="str">
            <v>Нет</v>
          </cell>
          <cell r="K35" t="str">
            <v>Нет</v>
          </cell>
          <cell r="L35" t="str">
            <v>Нет</v>
          </cell>
        </row>
        <row r="36">
          <cell r="C36" t="str">
            <v>ВАТИКАН</v>
          </cell>
          <cell r="D36" t="str">
            <v>25-35 дней</v>
          </cell>
          <cell r="E36" t="str">
            <v>Доставка возможна наземным и авиа транспортом</v>
          </cell>
          <cell r="F36" t="str">
            <v>Да</v>
          </cell>
          <cell r="G36" t="str">
            <v>Нет</v>
          </cell>
          <cell r="H36" t="str">
            <v>Да</v>
          </cell>
          <cell r="I36" t="str">
            <v>Да</v>
          </cell>
          <cell r="J36" t="str">
            <v>Да</v>
          </cell>
          <cell r="K36" t="str">
            <v>Да</v>
          </cell>
          <cell r="L36" t="str">
            <v>Да</v>
          </cell>
        </row>
        <row r="37">
          <cell r="C37" t="str">
            <v>ВЕЛИКОБРИТАНИЯ</v>
          </cell>
          <cell r="D37" t="str">
            <v>10-30 дней</v>
          </cell>
          <cell r="E37" t="str">
            <v>Доставка возможна наземным и авиа транспортом</v>
          </cell>
          <cell r="F37" t="str">
            <v>Да</v>
          </cell>
          <cell r="G37" t="str">
            <v>Да</v>
          </cell>
          <cell r="H37" t="str">
            <v>Да</v>
          </cell>
          <cell r="I37" t="str">
            <v>Да</v>
          </cell>
          <cell r="J37" t="str">
            <v>Да</v>
          </cell>
          <cell r="K37" t="str">
            <v>Да</v>
          </cell>
          <cell r="L37" t="str">
            <v>Да</v>
          </cell>
        </row>
        <row r="38">
          <cell r="C38" t="str">
            <v>ВЕНГРИЯ</v>
          </cell>
          <cell r="D38" t="str">
            <v>15-30 дней</v>
          </cell>
          <cell r="E38" t="str">
            <v>Доставка возможна наземным и авиа транспортом</v>
          </cell>
          <cell r="F38" t="str">
            <v>Да</v>
          </cell>
          <cell r="G38" t="str">
            <v>Да</v>
          </cell>
          <cell r="H38" t="str">
            <v>Да</v>
          </cell>
          <cell r="I38" t="str">
            <v>Да</v>
          </cell>
          <cell r="J38" t="str">
            <v>Нет</v>
          </cell>
          <cell r="K38" t="str">
            <v>Да</v>
          </cell>
          <cell r="L38" t="str">
            <v>Да</v>
          </cell>
        </row>
        <row r="39">
          <cell r="C39" t="str">
            <v>ВЕНЕСУЭЛА (БОЛИВАРИАНСКАЯ РЕСПУБЛИКА)</v>
          </cell>
          <cell r="D39" t="str">
            <v>15-35 дней</v>
          </cell>
          <cell r="E39" t="str">
            <v>Доставка авиатранспортом</v>
          </cell>
          <cell r="F39" t="str">
            <v>Да</v>
          </cell>
          <cell r="G39" t="str">
            <v>Нет</v>
          </cell>
          <cell r="H39" t="str">
            <v>Да</v>
          </cell>
          <cell r="I39" t="str">
            <v>Да</v>
          </cell>
          <cell r="J39" t="str">
            <v>Да</v>
          </cell>
          <cell r="K39" t="str">
            <v>Да</v>
          </cell>
          <cell r="L39" t="str">
            <v>Да</v>
          </cell>
        </row>
        <row r="40">
          <cell r="C40" t="str">
            <v>ВЬЕТНАМ</v>
          </cell>
          <cell r="D40" t="str">
            <v>25-40 дней</v>
          </cell>
          <cell r="E40" t="str">
            <v>Доставка авиатранспортом</v>
          </cell>
          <cell r="F40" t="str">
            <v>Да</v>
          </cell>
          <cell r="G40" t="str">
            <v>Нет</v>
          </cell>
          <cell r="H40" t="str">
            <v>Да</v>
          </cell>
          <cell r="I40" t="str">
            <v>Да</v>
          </cell>
          <cell r="J40" t="str">
            <v>Нет</v>
          </cell>
          <cell r="K40" t="str">
            <v>Да</v>
          </cell>
          <cell r="L40" t="str">
            <v>Да</v>
          </cell>
        </row>
        <row r="41">
          <cell r="C41" t="str">
            <v>ГАБОН</v>
          </cell>
          <cell r="D41" t="str">
            <v>25-40 дней</v>
          </cell>
          <cell r="E41" t="str">
            <v>Доставка авиатранспортом</v>
          </cell>
          <cell r="F41" t="str">
            <v>Нет</v>
          </cell>
          <cell r="G41" t="str">
            <v>Нет</v>
          </cell>
          <cell r="H41" t="str">
            <v>Нет</v>
          </cell>
          <cell r="I41" t="str">
            <v>Да</v>
          </cell>
          <cell r="J41" t="str">
            <v>Нет</v>
          </cell>
          <cell r="K41" t="str">
            <v>Да</v>
          </cell>
          <cell r="L41" t="str">
            <v>Да</v>
          </cell>
        </row>
        <row r="42">
          <cell r="C42" t="str">
            <v>ГАИТИ</v>
          </cell>
          <cell r="D42" t="str">
            <v>сроки будут определены по мере разработки и запуска логистических решений</v>
          </cell>
          <cell r="E42" t="str">
            <v>Логистическое решение  по доставке в страну временно отсутствует</v>
          </cell>
          <cell r="F42" t="str">
            <v>Нет</v>
          </cell>
          <cell r="G42" t="str">
            <v>Нет</v>
          </cell>
          <cell r="H42" t="str">
            <v>Нет</v>
          </cell>
          <cell r="I42" t="str">
            <v>Нет</v>
          </cell>
          <cell r="J42" t="str">
            <v>Нет</v>
          </cell>
          <cell r="K42" t="str">
            <v>Нет</v>
          </cell>
          <cell r="L42" t="str">
            <v>Нет</v>
          </cell>
        </row>
        <row r="43">
          <cell r="C43" t="str">
            <v>ГАЙАНА</v>
          </cell>
          <cell r="D43" t="str">
            <v>сроки будут определены по мере разработки и запуска логистических решений</v>
          </cell>
          <cell r="E43" t="str">
            <v>Логистическое решение  по доставке в страну временно отсутствует</v>
          </cell>
          <cell r="F43" t="str">
            <v>Нет</v>
          </cell>
          <cell r="G43" t="str">
            <v>Нет</v>
          </cell>
          <cell r="H43" t="str">
            <v>Нет</v>
          </cell>
          <cell r="I43" t="str">
            <v>Нет</v>
          </cell>
          <cell r="J43" t="str">
            <v>Нет</v>
          </cell>
          <cell r="K43" t="str">
            <v>Нет</v>
          </cell>
          <cell r="L43" t="str">
            <v>Нет</v>
          </cell>
        </row>
        <row r="44">
          <cell r="C44" t="str">
            <v>ГАМБИЯ</v>
          </cell>
          <cell r="D44" t="str">
            <v>25-40 дней</v>
          </cell>
          <cell r="E44" t="str">
            <v>Доставка авиатранспортом</v>
          </cell>
          <cell r="F44" t="str">
            <v>Да</v>
          </cell>
          <cell r="G44" t="str">
            <v>Нет</v>
          </cell>
          <cell r="H44" t="str">
            <v>Да</v>
          </cell>
          <cell r="I44" t="str">
            <v>Да</v>
          </cell>
          <cell r="J44" t="str">
            <v>Да</v>
          </cell>
          <cell r="K44" t="str">
            <v>Да</v>
          </cell>
          <cell r="L44" t="str">
            <v>Да</v>
          </cell>
        </row>
        <row r="45">
          <cell r="C45" t="str">
            <v>ГАНА</v>
          </cell>
          <cell r="D45" t="str">
            <v>25-40 дней</v>
          </cell>
          <cell r="E45" t="str">
            <v>Доставка авиатранспортом</v>
          </cell>
          <cell r="F45" t="str">
            <v>Нет</v>
          </cell>
          <cell r="G45" t="str">
            <v>Нет</v>
          </cell>
          <cell r="H45" t="str">
            <v>Нет</v>
          </cell>
          <cell r="I45" t="str">
            <v>Да</v>
          </cell>
          <cell r="J45" t="str">
            <v>Нет</v>
          </cell>
          <cell r="K45" t="str">
            <v>Да</v>
          </cell>
          <cell r="L45" t="str">
            <v>Да</v>
          </cell>
        </row>
        <row r="46">
          <cell r="C46" t="str">
            <v>ГВАДЕЛУПА</v>
          </cell>
          <cell r="D46" t="str">
            <v>сроки будут определены по мере разработки и запуска логистических решений</v>
          </cell>
          <cell r="E46" t="str">
            <v>Логистическое решение  по доставке в страну временно отсутствует</v>
          </cell>
          <cell r="F46" t="str">
            <v>Нет</v>
          </cell>
          <cell r="G46" t="str">
            <v>Нет</v>
          </cell>
          <cell r="H46" t="str">
            <v>Нет</v>
          </cell>
          <cell r="I46" t="str">
            <v>Нет</v>
          </cell>
          <cell r="J46" t="str">
            <v>Нет</v>
          </cell>
          <cell r="K46" t="str">
            <v>Нет</v>
          </cell>
          <cell r="L46" t="str">
            <v>Нет</v>
          </cell>
        </row>
        <row r="47">
          <cell r="C47" t="str">
            <v>ГВАТЕМАЛА</v>
          </cell>
          <cell r="D47" t="str">
            <v>сроки будут определены по мере разработки и запуска логистических решений</v>
          </cell>
          <cell r="E47" t="str">
            <v>Логистическое решение  по доставке в страну временно отсутствует</v>
          </cell>
          <cell r="F47" t="str">
            <v>Нет</v>
          </cell>
          <cell r="G47" t="str">
            <v>Нет</v>
          </cell>
          <cell r="H47" t="str">
            <v>Нет</v>
          </cell>
          <cell r="I47" t="str">
            <v>Нет</v>
          </cell>
          <cell r="J47" t="str">
            <v>Нет</v>
          </cell>
          <cell r="K47" t="str">
            <v>Нет</v>
          </cell>
          <cell r="L47" t="str">
            <v>Нет</v>
          </cell>
        </row>
        <row r="48">
          <cell r="C48" t="str">
            <v>ГВИНЕЯ</v>
          </cell>
          <cell r="D48" t="str">
            <v>25-40 дней</v>
          </cell>
          <cell r="E48" t="str">
            <v>Доставка авиатранспортом</v>
          </cell>
          <cell r="F48" t="str">
            <v>Нет</v>
          </cell>
          <cell r="G48" t="str">
            <v>Нет</v>
          </cell>
          <cell r="H48" t="str">
            <v>Нет</v>
          </cell>
          <cell r="I48" t="str">
            <v>Да</v>
          </cell>
          <cell r="J48" t="str">
            <v>Нет</v>
          </cell>
          <cell r="K48" t="str">
            <v>Да</v>
          </cell>
          <cell r="L48" t="str">
            <v>Да</v>
          </cell>
        </row>
        <row r="49">
          <cell r="C49" t="str">
            <v>ГВИНЕЯ-БИСАУ</v>
          </cell>
          <cell r="D49" t="str">
            <v>сроки будут определены по мере разработки и запуска логистических решений</v>
          </cell>
          <cell r="E49" t="str">
            <v>Логистическое решение  по доставке в страну временно отсутствует</v>
          </cell>
          <cell r="F49" t="str">
            <v>Нет</v>
          </cell>
          <cell r="G49" t="str">
            <v>Нет</v>
          </cell>
          <cell r="H49" t="str">
            <v>Нет</v>
          </cell>
          <cell r="I49" t="str">
            <v>Нет</v>
          </cell>
          <cell r="J49" t="str">
            <v>Нет</v>
          </cell>
          <cell r="K49" t="str">
            <v>Нет</v>
          </cell>
          <cell r="L49" t="str">
            <v>Нет</v>
          </cell>
        </row>
        <row r="50">
          <cell r="C50" t="str">
            <v>ГЕРМАНИЯ</v>
          </cell>
          <cell r="D50" t="str">
            <v>15-30 дней</v>
          </cell>
          <cell r="E50" t="str">
            <v>Доставка возможна наземным и авиа транспортом</v>
          </cell>
          <cell r="F50" t="str">
            <v>Да</v>
          </cell>
          <cell r="G50" t="str">
            <v>Да</v>
          </cell>
          <cell r="H50" t="str">
            <v>Да</v>
          </cell>
          <cell r="I50" t="str">
            <v>Да</v>
          </cell>
          <cell r="J50" t="str">
            <v>Нет</v>
          </cell>
          <cell r="K50" t="str">
            <v>Да</v>
          </cell>
          <cell r="L50" t="str">
            <v>Да</v>
          </cell>
        </row>
        <row r="51">
          <cell r="C51" t="str">
            <v>ГИБРАЛТАР</v>
          </cell>
          <cell r="D51" t="str">
            <v>25-35 дней</v>
          </cell>
          <cell r="E51" t="str">
            <v>Доставка возможна наземным и авиа транспортом</v>
          </cell>
          <cell r="F51" t="str">
            <v>Да</v>
          </cell>
          <cell r="G51" t="str">
            <v>Да</v>
          </cell>
          <cell r="H51" t="str">
            <v>Да</v>
          </cell>
          <cell r="I51" t="str">
            <v>Да</v>
          </cell>
          <cell r="J51" t="str">
            <v>Нет</v>
          </cell>
          <cell r="K51" t="str">
            <v>Да</v>
          </cell>
          <cell r="L51" t="str">
            <v>Да</v>
          </cell>
        </row>
        <row r="52">
          <cell r="C52" t="str">
            <v>ГОНДУРАС</v>
          </cell>
          <cell r="D52" t="str">
            <v>сроки будут определены по мере разработки и запуска логистических решений</v>
          </cell>
          <cell r="E52" t="str">
            <v>Логистическое решение  по доставке в страну временно отсутствует</v>
          </cell>
          <cell r="F52" t="str">
            <v>Нет</v>
          </cell>
          <cell r="G52" t="str">
            <v>Нет</v>
          </cell>
          <cell r="H52" t="str">
            <v>Нет</v>
          </cell>
          <cell r="I52" t="str">
            <v>Нет</v>
          </cell>
          <cell r="J52" t="str">
            <v>Нет</v>
          </cell>
          <cell r="K52" t="str">
            <v>Нет</v>
          </cell>
          <cell r="L52" t="str">
            <v>Нет</v>
          </cell>
        </row>
        <row r="53">
          <cell r="C53" t="str">
            <v>ГОНКОНГ</v>
          </cell>
          <cell r="D53" t="str">
            <v>15-25 дней</v>
          </cell>
          <cell r="E53" t="str">
            <v>Доставка авиатранспортом</v>
          </cell>
          <cell r="F53" t="str">
            <v>Да</v>
          </cell>
          <cell r="G53" t="str">
            <v>Нет</v>
          </cell>
          <cell r="H53" t="str">
            <v>Да</v>
          </cell>
          <cell r="I53" t="str">
            <v>Да</v>
          </cell>
          <cell r="J53" t="str">
            <v>Да</v>
          </cell>
          <cell r="K53" t="str">
            <v>Да</v>
          </cell>
          <cell r="L53" t="str">
            <v>Да</v>
          </cell>
        </row>
        <row r="54">
          <cell r="C54" t="str">
            <v>ГРЕНАДА</v>
          </cell>
          <cell r="D54" t="str">
            <v>сроки будут определены по мере разработки и запуска логистических решений</v>
          </cell>
          <cell r="E54" t="str">
            <v>Логистическое решение  по доставке в страну временно отсутствует</v>
          </cell>
          <cell r="F54" t="str">
            <v>Нет</v>
          </cell>
          <cell r="G54" t="str">
            <v>Нет</v>
          </cell>
          <cell r="H54" t="str">
            <v>Нет</v>
          </cell>
          <cell r="I54" t="str">
            <v>Нет</v>
          </cell>
          <cell r="J54" t="str">
            <v>Нет</v>
          </cell>
          <cell r="K54" t="str">
            <v>Нет</v>
          </cell>
          <cell r="L54" t="str">
            <v>Нет</v>
          </cell>
        </row>
        <row r="55">
          <cell r="C55" t="str">
            <v>ГРЕНЛАНДИЯ</v>
          </cell>
          <cell r="D55" t="str">
            <v>25-35 дней</v>
          </cell>
          <cell r="E55" t="str">
            <v>Доставка авиатранспортом</v>
          </cell>
          <cell r="F55" t="str">
            <v>Да</v>
          </cell>
          <cell r="G55" t="str">
            <v>Нет</v>
          </cell>
          <cell r="H55" t="str">
            <v>Да</v>
          </cell>
          <cell r="I55" t="str">
            <v>Да</v>
          </cell>
          <cell r="J55" t="str">
            <v>Да</v>
          </cell>
          <cell r="K55" t="str">
            <v>Да</v>
          </cell>
          <cell r="L55" t="str">
            <v>Да</v>
          </cell>
        </row>
        <row r="56">
          <cell r="C56" t="str">
            <v>ГРЕЦИЯ</v>
          </cell>
          <cell r="D56" t="str">
            <v>15-30 дней</v>
          </cell>
          <cell r="E56" t="str">
            <v>Доставка возможна наземным и авиа транспортом</v>
          </cell>
          <cell r="F56" t="str">
            <v>Да</v>
          </cell>
          <cell r="G56" t="str">
            <v>Да</v>
          </cell>
          <cell r="H56" t="str">
            <v>Да</v>
          </cell>
          <cell r="I56" t="str">
            <v>Да</v>
          </cell>
          <cell r="J56" t="str">
            <v>Да</v>
          </cell>
          <cell r="K56" t="str">
            <v>Да</v>
          </cell>
          <cell r="L56" t="str">
            <v>Да</v>
          </cell>
        </row>
        <row r="57">
          <cell r="C57" t="str">
            <v>ГРУЗИЯ</v>
          </cell>
          <cell r="D57" t="str">
            <v>15-30 дней</v>
          </cell>
          <cell r="E57" t="str">
            <v>Доставка авиатранспортом</v>
          </cell>
          <cell r="F57" t="str">
            <v>Да</v>
          </cell>
          <cell r="G57" t="str">
            <v>Нет</v>
          </cell>
          <cell r="H57" t="str">
            <v>Да</v>
          </cell>
          <cell r="I57" t="str">
            <v>Да</v>
          </cell>
          <cell r="J57" t="str">
            <v>Нет</v>
          </cell>
          <cell r="K57" t="str">
            <v>Да</v>
          </cell>
          <cell r="L57" t="str">
            <v>Да</v>
          </cell>
        </row>
        <row r="58">
          <cell r="C58" t="str">
            <v>ГУАМ</v>
          </cell>
          <cell r="D58" t="str">
            <v>сроки будут определены по мере разработки и запуска логистических решений</v>
          </cell>
          <cell r="E58" t="str">
            <v>Логистическое решение  по доставке в страну временно отсутствует</v>
          </cell>
          <cell r="F58" t="str">
            <v>Нет</v>
          </cell>
          <cell r="G58" t="str">
            <v>Нет</v>
          </cell>
          <cell r="H58" t="str">
            <v>Нет</v>
          </cell>
          <cell r="I58" t="str">
            <v>Нет</v>
          </cell>
          <cell r="J58" t="str">
            <v>Нет</v>
          </cell>
          <cell r="K58" t="str">
            <v>Нет</v>
          </cell>
          <cell r="L58" t="str">
            <v>Нет</v>
          </cell>
        </row>
        <row r="59">
          <cell r="C59" t="str">
            <v>ДАНИЯ</v>
          </cell>
          <cell r="D59" t="str">
            <v>15-30 дней</v>
          </cell>
          <cell r="E59" t="str">
            <v>Доставка возможна наземным и авиа транспортом</v>
          </cell>
          <cell r="F59" t="str">
            <v>Да</v>
          </cell>
          <cell r="G59" t="str">
            <v>Да</v>
          </cell>
          <cell r="H59" t="str">
            <v>Да</v>
          </cell>
          <cell r="I59" t="str">
            <v>Да</v>
          </cell>
          <cell r="J59" t="str">
            <v>Нет</v>
          </cell>
          <cell r="K59" t="str">
            <v>Да</v>
          </cell>
          <cell r="L59" t="str">
            <v>Да</v>
          </cell>
        </row>
        <row r="60">
          <cell r="C60" t="str">
            <v>ДЖЕРСИ</v>
          </cell>
          <cell r="D60" t="str">
            <v>25-35 дней</v>
          </cell>
          <cell r="E60" t="str">
            <v>Доставка возможна наземным и авиа транспортом</v>
          </cell>
          <cell r="F60" t="str">
            <v>Да</v>
          </cell>
          <cell r="G60" t="str">
            <v>Да</v>
          </cell>
          <cell r="H60" t="str">
            <v>Да</v>
          </cell>
          <cell r="I60" t="str">
            <v>Да</v>
          </cell>
          <cell r="J60" t="str">
            <v>Да</v>
          </cell>
          <cell r="K60" t="str">
            <v>Да</v>
          </cell>
          <cell r="L60" t="str">
            <v>Да</v>
          </cell>
        </row>
        <row r="61">
          <cell r="C61" t="str">
            <v>ДЖИБУТИ</v>
          </cell>
          <cell r="D61" t="str">
            <v>30-45 дней</v>
          </cell>
          <cell r="E61" t="str">
            <v>Доставка авиатранспортом</v>
          </cell>
          <cell r="F61" t="str">
            <v>Да</v>
          </cell>
          <cell r="G61" t="str">
            <v>Нет</v>
          </cell>
          <cell r="H61" t="str">
            <v>Да</v>
          </cell>
          <cell r="I61" t="str">
            <v>Да</v>
          </cell>
          <cell r="J61" t="str">
            <v>Нет</v>
          </cell>
          <cell r="K61" t="str">
            <v>Да</v>
          </cell>
          <cell r="L61" t="str">
            <v>Да</v>
          </cell>
        </row>
        <row r="62">
          <cell r="C62" t="str">
            <v>ДОМИНИКА</v>
          </cell>
          <cell r="D62" t="str">
            <v>сроки будут определены по мере разработки и запуска логистических решений</v>
          </cell>
          <cell r="E62" t="str">
            <v>Логистическое решение  по доставке в страну временно отсутствует</v>
          </cell>
          <cell r="F62" t="str">
            <v>Нет</v>
          </cell>
          <cell r="G62" t="str">
            <v>Нет</v>
          </cell>
          <cell r="H62" t="str">
            <v>Нет</v>
          </cell>
          <cell r="I62" t="str">
            <v>Нет</v>
          </cell>
          <cell r="J62" t="str">
            <v>Нет</v>
          </cell>
          <cell r="K62" t="str">
            <v>Нет</v>
          </cell>
          <cell r="L62" t="str">
            <v>Нет</v>
          </cell>
        </row>
        <row r="63">
          <cell r="C63" t="str">
            <v>ДОМИНИКАНСКАЯ РЕСПУБЛИКА</v>
          </cell>
          <cell r="D63" t="str">
            <v>20-35 дней</v>
          </cell>
          <cell r="E63" t="str">
            <v>Доставка авиатранспортом</v>
          </cell>
          <cell r="F63" t="str">
            <v>Нет</v>
          </cell>
          <cell r="G63" t="str">
            <v>Нет</v>
          </cell>
          <cell r="H63" t="str">
            <v>Нет</v>
          </cell>
          <cell r="I63" t="str">
            <v>Да</v>
          </cell>
          <cell r="J63" t="str">
            <v>Нет</v>
          </cell>
          <cell r="K63" t="str">
            <v>Да</v>
          </cell>
          <cell r="L63" t="str">
            <v>Да</v>
          </cell>
        </row>
        <row r="64">
          <cell r="C64" t="str">
            <v>ЕГИПЕТ</v>
          </cell>
          <cell r="D64" t="str">
            <v>15-25 дней</v>
          </cell>
          <cell r="E64" t="str">
            <v>Доставка авиатранспортом</v>
          </cell>
          <cell r="F64" t="str">
            <v>Да</v>
          </cell>
          <cell r="G64" t="str">
            <v>Нет</v>
          </cell>
          <cell r="H64" t="str">
            <v>Да</v>
          </cell>
          <cell r="I64" t="str">
            <v>Да</v>
          </cell>
          <cell r="J64" t="str">
            <v>Да</v>
          </cell>
          <cell r="K64" t="str">
            <v>Да</v>
          </cell>
          <cell r="L64" t="str">
            <v>Да</v>
          </cell>
        </row>
        <row r="65">
          <cell r="C65" t="str">
            <v>ЗАМБИЯ</v>
          </cell>
          <cell r="D65" t="str">
            <v>25-40 дней</v>
          </cell>
          <cell r="E65" t="str">
            <v>Доставка авиатранспортом</v>
          </cell>
          <cell r="F65" t="str">
            <v>Нет</v>
          </cell>
          <cell r="G65" t="str">
            <v>Нет</v>
          </cell>
          <cell r="H65" t="str">
            <v>Нет</v>
          </cell>
          <cell r="I65" t="str">
            <v>Да</v>
          </cell>
          <cell r="J65" t="str">
            <v>Нет</v>
          </cell>
          <cell r="K65" t="str">
            <v>Да</v>
          </cell>
          <cell r="L65" t="str">
            <v>Да</v>
          </cell>
        </row>
        <row r="66">
          <cell r="C66" t="str">
            <v>ЗИМБАБВЕ</v>
          </cell>
          <cell r="D66" t="str">
            <v>25-40 дней</v>
          </cell>
          <cell r="E66" t="str">
            <v>Доставка авиатранспортом</v>
          </cell>
          <cell r="F66" t="str">
            <v>Нет</v>
          </cell>
          <cell r="G66" t="str">
            <v>Нет</v>
          </cell>
          <cell r="H66" t="str">
            <v>Нет</v>
          </cell>
          <cell r="I66" t="str">
            <v>Да</v>
          </cell>
          <cell r="J66" t="str">
            <v>Нет</v>
          </cell>
          <cell r="K66" t="str">
            <v>Да</v>
          </cell>
          <cell r="L66" t="str">
            <v>Да</v>
          </cell>
        </row>
        <row r="67">
          <cell r="C67" t="str">
            <v>ИЗРАИЛЬ</v>
          </cell>
          <cell r="D67" t="str">
            <v>10-30 дней</v>
          </cell>
          <cell r="E67" t="str">
            <v>Доставка авиатранспортом</v>
          </cell>
          <cell r="F67" t="str">
            <v>Да</v>
          </cell>
          <cell r="G67" t="str">
            <v>Нет</v>
          </cell>
          <cell r="H67" t="str">
            <v>Да</v>
          </cell>
          <cell r="I67" t="str">
            <v>Да</v>
          </cell>
          <cell r="J67" t="str">
            <v>Да</v>
          </cell>
          <cell r="K67" t="str">
            <v>Да</v>
          </cell>
          <cell r="L67" t="str">
            <v>Да</v>
          </cell>
        </row>
        <row r="68">
          <cell r="C68" t="str">
            <v>ИНДИЯ</v>
          </cell>
          <cell r="D68" t="str">
            <v>15-35 дней</v>
          </cell>
          <cell r="E68" t="str">
            <v>Доставка авиатранспортом</v>
          </cell>
          <cell r="F68" t="str">
            <v>Да</v>
          </cell>
          <cell r="G68" t="str">
            <v>Нет</v>
          </cell>
          <cell r="H68" t="str">
            <v>Да</v>
          </cell>
          <cell r="I68" t="str">
            <v>Да</v>
          </cell>
          <cell r="J68" t="str">
            <v>Да</v>
          </cell>
          <cell r="K68" t="str">
            <v>Да</v>
          </cell>
          <cell r="L68" t="str">
            <v>Да</v>
          </cell>
        </row>
        <row r="69">
          <cell r="C69" t="str">
            <v>ИНДОНЕЗИЯ</v>
          </cell>
          <cell r="D69" t="str">
            <v>20-30 дней</v>
          </cell>
          <cell r="E69" t="str">
            <v>Доставка авиатранспортом</v>
          </cell>
          <cell r="F69" t="str">
            <v>Да</v>
          </cell>
          <cell r="G69" t="str">
            <v>Нет</v>
          </cell>
          <cell r="H69" t="str">
            <v>Да</v>
          </cell>
          <cell r="I69" t="str">
            <v>Да</v>
          </cell>
          <cell r="J69" t="str">
            <v>Нет</v>
          </cell>
          <cell r="K69" t="str">
            <v>Да</v>
          </cell>
          <cell r="L69" t="str">
            <v>Да</v>
          </cell>
        </row>
        <row r="70">
          <cell r="C70" t="str">
            <v>ИОРДАНИЯ</v>
          </cell>
          <cell r="D70" t="str">
            <v>25-35 дней</v>
          </cell>
          <cell r="E70" t="str">
            <v>Доставка авиатранспортом</v>
          </cell>
          <cell r="F70" t="str">
            <v>Да</v>
          </cell>
          <cell r="G70" t="str">
            <v>Нет</v>
          </cell>
          <cell r="H70" t="str">
            <v>Да</v>
          </cell>
          <cell r="I70" t="str">
            <v>Да</v>
          </cell>
          <cell r="J70" t="str">
            <v>Нет</v>
          </cell>
          <cell r="K70" t="str">
            <v>Да</v>
          </cell>
          <cell r="L70" t="str">
            <v>Да</v>
          </cell>
        </row>
        <row r="71">
          <cell r="C71" t="str">
            <v>ИРАК</v>
          </cell>
          <cell r="D71" t="str">
            <v>20-30 дней</v>
          </cell>
          <cell r="E71" t="str">
            <v>Доставка авиатранспортом</v>
          </cell>
          <cell r="F71" t="str">
            <v>Да</v>
          </cell>
          <cell r="G71" t="str">
            <v>Нет</v>
          </cell>
          <cell r="H71" t="str">
            <v>Да</v>
          </cell>
          <cell r="I71" t="str">
            <v>Да</v>
          </cell>
          <cell r="J71" t="str">
            <v>Да</v>
          </cell>
          <cell r="K71" t="str">
            <v>Да</v>
          </cell>
          <cell r="L71" t="str">
            <v>Да</v>
          </cell>
        </row>
        <row r="72">
          <cell r="C72" t="str">
            <v>ИРАН (ИСЛАМСКАЯ РЕСПУБЛИКА)</v>
          </cell>
          <cell r="D72" t="str">
            <v>15-30 дней</v>
          </cell>
          <cell r="E72" t="str">
            <v>Доставка авиатранспортом</v>
          </cell>
          <cell r="F72" t="str">
            <v>Да</v>
          </cell>
          <cell r="G72" t="str">
            <v>Нет</v>
          </cell>
          <cell r="H72" t="str">
            <v>Да</v>
          </cell>
          <cell r="I72" t="str">
            <v>Да</v>
          </cell>
          <cell r="J72" t="str">
            <v>Да</v>
          </cell>
          <cell r="K72" t="str">
            <v>Да</v>
          </cell>
          <cell r="L72" t="str">
            <v>Да</v>
          </cell>
        </row>
        <row r="73">
          <cell r="C73" t="str">
            <v>ИРЛАНДИЯ</v>
          </cell>
          <cell r="D73" t="str">
            <v>20-30 дней</v>
          </cell>
          <cell r="E73" t="str">
            <v>Доставка возможна наземным и авиа транспортом</v>
          </cell>
          <cell r="F73" t="str">
            <v>Да</v>
          </cell>
          <cell r="G73" t="str">
            <v>Нет</v>
          </cell>
          <cell r="H73" t="str">
            <v>Да</v>
          </cell>
          <cell r="I73" t="str">
            <v>Да</v>
          </cell>
          <cell r="J73" t="str">
            <v>Да</v>
          </cell>
          <cell r="K73" t="str">
            <v>Да</v>
          </cell>
          <cell r="L73" t="str">
            <v>Да</v>
          </cell>
        </row>
        <row r="74">
          <cell r="C74" t="str">
            <v>ИСЛАНДИЯ</v>
          </cell>
          <cell r="D74" t="str">
            <v>25-35 дней</v>
          </cell>
          <cell r="E74" t="str">
            <v>Доставка авиатранспортом</v>
          </cell>
          <cell r="F74" t="str">
            <v>Да</v>
          </cell>
          <cell r="G74" t="str">
            <v>Нет</v>
          </cell>
          <cell r="H74" t="str">
            <v>Да</v>
          </cell>
          <cell r="I74" t="str">
            <v>Да</v>
          </cell>
          <cell r="J74" t="str">
            <v>Нет</v>
          </cell>
          <cell r="K74" t="str">
            <v>Да</v>
          </cell>
          <cell r="L74" t="str">
            <v>Да</v>
          </cell>
        </row>
        <row r="75">
          <cell r="C75" t="str">
            <v>ИСПАНИЯ</v>
          </cell>
          <cell r="D75" t="str">
            <v>15-30 дней</v>
          </cell>
          <cell r="E75" t="str">
            <v>Доставка возможна наземным и авиа транспортом</v>
          </cell>
          <cell r="F75" t="str">
            <v>Да</v>
          </cell>
          <cell r="G75" t="str">
            <v>Да</v>
          </cell>
          <cell r="H75" t="str">
            <v>Да</v>
          </cell>
          <cell r="I75" t="str">
            <v>Да</v>
          </cell>
          <cell r="J75" t="str">
            <v>Да</v>
          </cell>
          <cell r="K75" t="str">
            <v>Да</v>
          </cell>
          <cell r="L75" t="str">
            <v>Да</v>
          </cell>
        </row>
        <row r="76">
          <cell r="C76" t="str">
            <v>ИТАЛИЯ</v>
          </cell>
          <cell r="D76" t="str">
            <v>15-30 дней</v>
          </cell>
          <cell r="E76" t="str">
            <v>Доставка возможна наземным и авиа транспортом</v>
          </cell>
          <cell r="F76" t="str">
            <v>Да</v>
          </cell>
          <cell r="G76" t="str">
            <v>Да</v>
          </cell>
          <cell r="H76" t="str">
            <v>Да</v>
          </cell>
          <cell r="I76" t="str">
            <v>Да</v>
          </cell>
          <cell r="J76" t="str">
            <v>Да</v>
          </cell>
          <cell r="K76" t="str">
            <v>Да</v>
          </cell>
          <cell r="L76" t="str">
            <v>Да</v>
          </cell>
        </row>
        <row r="77">
          <cell r="C77" t="str">
            <v>ЙЕМЕН</v>
          </cell>
          <cell r="D77" t="str">
            <v>сроки будут определены по мере разработки и запуска логистических решений</v>
          </cell>
          <cell r="E77" t="str">
            <v>Логистическое решение  по доставке в страну временно отсутствует</v>
          </cell>
          <cell r="F77" t="str">
            <v>Нет</v>
          </cell>
          <cell r="G77" t="str">
            <v>Нет</v>
          </cell>
          <cell r="H77" t="str">
            <v>Нет</v>
          </cell>
          <cell r="I77" t="str">
            <v>Нет</v>
          </cell>
          <cell r="J77" t="str">
            <v>Нет</v>
          </cell>
          <cell r="K77" t="str">
            <v>Нет</v>
          </cell>
          <cell r="L77" t="str">
            <v>Нет</v>
          </cell>
        </row>
        <row r="78">
          <cell r="C78" t="str">
            <v>КАБО-ВЕРДЕ</v>
          </cell>
          <cell r="D78" t="str">
            <v>25-40 дней</v>
          </cell>
          <cell r="E78" t="str">
            <v>Доставка авиатранспортом</v>
          </cell>
          <cell r="F78" t="str">
            <v>Нет</v>
          </cell>
          <cell r="G78" t="str">
            <v>Нет</v>
          </cell>
          <cell r="H78" t="str">
            <v>Нет</v>
          </cell>
          <cell r="I78" t="str">
            <v>Да</v>
          </cell>
          <cell r="J78" t="str">
            <v>Нет</v>
          </cell>
          <cell r="K78" t="str">
            <v>Да</v>
          </cell>
          <cell r="L78" t="str">
            <v>Да</v>
          </cell>
        </row>
        <row r="79">
          <cell r="C79" t="str">
            <v>КАЗАХСТАН</v>
          </cell>
          <cell r="D79" t="str">
            <v>5-20 дней</v>
          </cell>
          <cell r="E79" t="str">
            <v>Доставка авиатранспортом</v>
          </cell>
          <cell r="F79" t="str">
            <v>Да</v>
          </cell>
          <cell r="G79" t="str">
            <v>Нет</v>
          </cell>
          <cell r="H79" t="str">
            <v>Да</v>
          </cell>
          <cell r="I79" t="str">
            <v>Да</v>
          </cell>
          <cell r="J79" t="str">
            <v>Да</v>
          </cell>
          <cell r="K79" t="str">
            <v>Да</v>
          </cell>
          <cell r="L79" t="str">
            <v>Да</v>
          </cell>
        </row>
        <row r="80">
          <cell r="C80" t="str">
            <v>КАМБОДЖА</v>
          </cell>
          <cell r="D80" t="str">
            <v>30-40 дней</v>
          </cell>
          <cell r="E80" t="str">
            <v>Доставка авиатранспортом</v>
          </cell>
          <cell r="F80" t="str">
            <v>Да</v>
          </cell>
          <cell r="G80" t="str">
            <v>Нет</v>
          </cell>
          <cell r="H80" t="str">
            <v>Да</v>
          </cell>
          <cell r="I80" t="str">
            <v>Да</v>
          </cell>
          <cell r="J80" t="str">
            <v>Да</v>
          </cell>
          <cell r="K80" t="str">
            <v>Да</v>
          </cell>
          <cell r="L80" t="str">
            <v>Да</v>
          </cell>
        </row>
        <row r="81">
          <cell r="C81" t="str">
            <v>КАМЕРУН</v>
          </cell>
          <cell r="D81" t="str">
            <v>25-40 дней</v>
          </cell>
          <cell r="E81" t="str">
            <v>Доставка авиатранспортом</v>
          </cell>
          <cell r="F81" t="str">
            <v>Нет</v>
          </cell>
          <cell r="G81" t="str">
            <v>Нет</v>
          </cell>
          <cell r="H81" t="str">
            <v>Нет</v>
          </cell>
          <cell r="I81" t="str">
            <v>Да</v>
          </cell>
          <cell r="J81" t="str">
            <v>Нет</v>
          </cell>
          <cell r="K81" t="str">
            <v>Да</v>
          </cell>
          <cell r="L81" t="str">
            <v>Да</v>
          </cell>
        </row>
        <row r="82">
          <cell r="C82" t="str">
            <v>КАНАДА</v>
          </cell>
          <cell r="D82" t="str">
            <v>15-30 дней</v>
          </cell>
          <cell r="E82" t="str">
            <v>Доставка авиатранспортом</v>
          </cell>
          <cell r="F82" t="str">
            <v>Да</v>
          </cell>
          <cell r="G82" t="str">
            <v>Нет</v>
          </cell>
          <cell r="H82" t="str">
            <v>Да</v>
          </cell>
          <cell r="I82" t="str">
            <v>Да</v>
          </cell>
          <cell r="J82" t="str">
            <v>Нет</v>
          </cell>
          <cell r="K82" t="str">
            <v>Да</v>
          </cell>
          <cell r="L82" t="str">
            <v>Да</v>
          </cell>
        </row>
        <row r="83">
          <cell r="C83" t="str">
            <v>КАТАР</v>
          </cell>
          <cell r="D83" t="str">
            <v>20-30 дней</v>
          </cell>
          <cell r="E83" t="str">
            <v>Доставка авиатранспортом</v>
          </cell>
          <cell r="F83" t="str">
            <v>Да</v>
          </cell>
          <cell r="G83" t="str">
            <v>Нет</v>
          </cell>
          <cell r="H83" t="str">
            <v>Да</v>
          </cell>
          <cell r="I83" t="str">
            <v>Да</v>
          </cell>
          <cell r="J83" t="str">
            <v>Да</v>
          </cell>
          <cell r="K83" t="str">
            <v>Да</v>
          </cell>
          <cell r="L83" t="str">
            <v>Да</v>
          </cell>
        </row>
        <row r="84">
          <cell r="C84" t="str">
            <v>КАЙМАНОВЫ ОСТРОВА</v>
          </cell>
          <cell r="D84" t="str">
            <v>20-35 дней</v>
          </cell>
          <cell r="E84" t="str">
            <v>Доставка авиатранспортом</v>
          </cell>
          <cell r="F84" t="str">
            <v>Нет</v>
          </cell>
          <cell r="G84" t="str">
            <v>Нет</v>
          </cell>
          <cell r="H84" t="str">
            <v>Нет</v>
          </cell>
          <cell r="I84" t="str">
            <v>Да</v>
          </cell>
          <cell r="J84" t="str">
            <v>Нет</v>
          </cell>
          <cell r="K84" t="str">
            <v>Да</v>
          </cell>
          <cell r="L84" t="str">
            <v>Да</v>
          </cell>
        </row>
        <row r="85">
          <cell r="C85" t="str">
            <v>КЕНИЯ</v>
          </cell>
          <cell r="D85" t="str">
            <v>25-40 дней</v>
          </cell>
          <cell r="E85" t="str">
            <v>Доставка авиатранспортом</v>
          </cell>
          <cell r="F85" t="str">
            <v>Да</v>
          </cell>
          <cell r="G85" t="str">
            <v>Нет</v>
          </cell>
          <cell r="H85" t="str">
            <v>Да</v>
          </cell>
          <cell r="I85" t="str">
            <v>Да</v>
          </cell>
          <cell r="J85" t="str">
            <v>Да</v>
          </cell>
          <cell r="K85" t="str">
            <v>Да</v>
          </cell>
          <cell r="L85" t="str">
            <v>Да</v>
          </cell>
        </row>
        <row r="86">
          <cell r="C86" t="str">
            <v>КИПР</v>
          </cell>
          <cell r="D86" t="str">
            <v>15-30 дней</v>
          </cell>
          <cell r="E86" t="str">
            <v>Доставка авиатранспортом</v>
          </cell>
          <cell r="F86" t="str">
            <v>Да</v>
          </cell>
          <cell r="G86" t="str">
            <v>Нет</v>
          </cell>
          <cell r="H86" t="str">
            <v>Да</v>
          </cell>
          <cell r="I86" t="str">
            <v>Да</v>
          </cell>
          <cell r="J86" t="str">
            <v>Да</v>
          </cell>
          <cell r="K86" t="str">
            <v>Да</v>
          </cell>
          <cell r="L86" t="str">
            <v>Да</v>
          </cell>
        </row>
        <row r="87">
          <cell r="C87" t="str">
            <v>КИРГИЗИЯ</v>
          </cell>
          <cell r="D87" t="str">
            <v>10-25 дней</v>
          </cell>
          <cell r="E87" t="str">
            <v>Доставка авиатранспортом</v>
          </cell>
          <cell r="F87" t="str">
            <v>Да</v>
          </cell>
          <cell r="G87" t="str">
            <v>Нет</v>
          </cell>
          <cell r="H87" t="str">
            <v>Да</v>
          </cell>
          <cell r="I87" t="str">
            <v>Да</v>
          </cell>
          <cell r="J87" t="str">
            <v>Да</v>
          </cell>
          <cell r="K87" t="str">
            <v>Да</v>
          </cell>
          <cell r="L87" t="str">
            <v>Да</v>
          </cell>
        </row>
        <row r="88">
          <cell r="C88" t="str">
            <v>КИРИБАТИ</v>
          </cell>
          <cell r="D88" t="str">
            <v>сроки будут определены по мере разработки и запуска логистических решений</v>
          </cell>
          <cell r="E88" t="str">
            <v>Логистическое решение  по доставке в страну временно отсутствует</v>
          </cell>
          <cell r="F88" t="str">
            <v>Нет</v>
          </cell>
          <cell r="G88" t="str">
            <v>Нет</v>
          </cell>
          <cell r="H88" t="str">
            <v>Нет</v>
          </cell>
          <cell r="I88" t="str">
            <v>Нет</v>
          </cell>
          <cell r="J88" t="str">
            <v>Нет</v>
          </cell>
          <cell r="K88" t="str">
            <v>Нет</v>
          </cell>
          <cell r="L88" t="str">
            <v>Нет</v>
          </cell>
        </row>
        <row r="89">
          <cell r="C89" t="str">
            <v>КИТАЙ</v>
          </cell>
          <cell r="D89" t="str">
            <v>10-20 дней</v>
          </cell>
          <cell r="E89" t="str">
            <v>Доставка авиатранспортом</v>
          </cell>
          <cell r="F89" t="str">
            <v>Да</v>
          </cell>
          <cell r="G89" t="str">
            <v>Нет</v>
          </cell>
          <cell r="H89" t="str">
            <v>Да</v>
          </cell>
          <cell r="I89" t="str">
            <v>Да</v>
          </cell>
          <cell r="J89" t="str">
            <v>Да</v>
          </cell>
          <cell r="K89" t="str">
            <v>Да</v>
          </cell>
          <cell r="L89" t="str">
            <v>Да</v>
          </cell>
        </row>
        <row r="90">
          <cell r="C90" t="str">
            <v>КОЛУМБИЯ</v>
          </cell>
          <cell r="D90" t="str">
            <v>15-35 дней</v>
          </cell>
          <cell r="E90" t="str">
            <v>Доставка авиатранспортом</v>
          </cell>
          <cell r="F90" t="str">
            <v>Да</v>
          </cell>
          <cell r="G90" t="str">
            <v>Нет</v>
          </cell>
          <cell r="H90" t="str">
            <v>Да</v>
          </cell>
          <cell r="I90" t="str">
            <v>Да</v>
          </cell>
          <cell r="J90" t="str">
            <v>Да</v>
          </cell>
          <cell r="K90" t="str">
            <v>Да</v>
          </cell>
          <cell r="L90" t="str">
            <v>Да</v>
          </cell>
        </row>
        <row r="91">
          <cell r="C91" t="str">
            <v>КОМОРЫ</v>
          </cell>
          <cell r="D91" t="str">
            <v>сроки будут определены по мере разработки и запуска логистических решений</v>
          </cell>
          <cell r="E91" t="str">
            <v>Логистическое решение  по доставке в страну временно отсутствует</v>
          </cell>
          <cell r="F91" t="str">
            <v>Нет</v>
          </cell>
          <cell r="G91" t="str">
            <v>Нет</v>
          </cell>
          <cell r="H91" t="str">
            <v>Нет</v>
          </cell>
          <cell r="I91" t="str">
            <v>Нет</v>
          </cell>
          <cell r="J91" t="str">
            <v>Нет</v>
          </cell>
          <cell r="K91" t="str">
            <v>Нет</v>
          </cell>
          <cell r="L91" t="str">
            <v>Нет</v>
          </cell>
        </row>
        <row r="92">
          <cell r="C92" t="str">
            <v>КОНГО</v>
          </cell>
          <cell r="D92" t="str">
            <v>сроки будут определены по мере разработки и запуска логистических решений</v>
          </cell>
          <cell r="E92" t="str">
            <v>Логистическое решение  по доставке в страну временно отсутствует</v>
          </cell>
          <cell r="F92" t="str">
            <v>Нет</v>
          </cell>
          <cell r="G92" t="str">
            <v>Нет</v>
          </cell>
          <cell r="H92" t="str">
            <v>Нет</v>
          </cell>
          <cell r="I92" t="str">
            <v>Нет</v>
          </cell>
          <cell r="J92" t="str">
            <v>Нет</v>
          </cell>
          <cell r="K92" t="str">
            <v>Нет</v>
          </cell>
          <cell r="L92" t="str">
            <v>Нет</v>
          </cell>
        </row>
        <row r="93">
          <cell r="C93" t="str">
            <v>КОНГО, ДЕМОКРАТИЧЕСКАЯ РЕСПУБЛИКА</v>
          </cell>
          <cell r="D93" t="str">
            <v>25-40 дней</v>
          </cell>
          <cell r="E93" t="str">
            <v>Доставка авиатранспортом</v>
          </cell>
          <cell r="F93" t="str">
            <v>Нет</v>
          </cell>
          <cell r="G93" t="str">
            <v>Нет</v>
          </cell>
          <cell r="H93" t="str">
            <v>Нет</v>
          </cell>
          <cell r="I93" t="str">
            <v>Да</v>
          </cell>
          <cell r="J93" t="str">
            <v>Нет</v>
          </cell>
          <cell r="K93" t="str">
            <v>Да</v>
          </cell>
          <cell r="L93" t="str">
            <v>Да</v>
          </cell>
        </row>
        <row r="94">
          <cell r="C94" t="str">
            <v>КОРЕЯ, НАРОДНО-ДЕМОКРАТИЧЕСКАЯ РЕСПУБЛИКА</v>
          </cell>
          <cell r="D94" t="str">
            <v>сроки будут определены по мере разработки и запуска логистических решений</v>
          </cell>
          <cell r="E94" t="str">
            <v>Логистическое решение  по доставке в страну временно отсутствует</v>
          </cell>
          <cell r="F94" t="str">
            <v>Нет</v>
          </cell>
          <cell r="G94" t="str">
            <v>Нет</v>
          </cell>
          <cell r="H94" t="str">
            <v>Нет</v>
          </cell>
          <cell r="I94" t="str">
            <v>Нет</v>
          </cell>
          <cell r="J94" t="str">
            <v>Нет</v>
          </cell>
          <cell r="K94" t="str">
            <v>Нет</v>
          </cell>
          <cell r="L94" t="str">
            <v>Нет</v>
          </cell>
        </row>
        <row r="95">
          <cell r="C95" t="str">
            <v>КОРЕЯ, РЕСПУБЛИКА</v>
          </cell>
          <cell r="D95" t="str">
            <v>20-30 дней</v>
          </cell>
          <cell r="E95" t="str">
            <v>Доставка авиатранспортом</v>
          </cell>
          <cell r="F95" t="str">
            <v>Да</v>
          </cell>
          <cell r="G95" t="str">
            <v>Нет</v>
          </cell>
          <cell r="H95" t="str">
            <v>Да</v>
          </cell>
          <cell r="I95" t="str">
            <v>Да</v>
          </cell>
          <cell r="J95" t="str">
            <v>Да</v>
          </cell>
          <cell r="K95" t="str">
            <v>Да</v>
          </cell>
          <cell r="L95" t="str">
            <v>Да</v>
          </cell>
        </row>
        <row r="96">
          <cell r="C96" t="str">
            <v>КОСТА-РИКА</v>
          </cell>
          <cell r="D96" t="str">
            <v>20-35 дней</v>
          </cell>
          <cell r="E96" t="str">
            <v>Доставка авиатранспортом</v>
          </cell>
          <cell r="F96" t="str">
            <v>Нет</v>
          </cell>
          <cell r="G96" t="str">
            <v>Нет</v>
          </cell>
          <cell r="H96" t="str">
            <v>Нет</v>
          </cell>
          <cell r="I96" t="str">
            <v>Да</v>
          </cell>
          <cell r="J96" t="str">
            <v>Нет</v>
          </cell>
          <cell r="K96" t="str">
            <v>Да</v>
          </cell>
          <cell r="L96" t="str">
            <v>Да</v>
          </cell>
        </row>
        <row r="97">
          <cell r="C97" t="str">
            <v>КОТ Д'ИВУАР</v>
          </cell>
          <cell r="D97" t="str">
            <v>25-40 дней</v>
          </cell>
          <cell r="E97" t="str">
            <v>Доставка авиатранспортом</v>
          </cell>
          <cell r="F97" t="str">
            <v>Нет</v>
          </cell>
          <cell r="G97" t="str">
            <v>Нет</v>
          </cell>
          <cell r="H97" t="str">
            <v>Нет</v>
          </cell>
          <cell r="I97" t="str">
            <v>Да</v>
          </cell>
          <cell r="J97" t="str">
            <v>Нет</v>
          </cell>
          <cell r="K97" t="str">
            <v>Да</v>
          </cell>
          <cell r="L97" t="str">
            <v>Да</v>
          </cell>
        </row>
        <row r="98">
          <cell r="C98" t="str">
            <v>КУБА</v>
          </cell>
          <cell r="D98" t="str">
            <v>15-35 дней</v>
          </cell>
          <cell r="E98" t="str">
            <v>Доставка авиатранспортом *</v>
          </cell>
          <cell r="F98" t="str">
            <v>Да</v>
          </cell>
          <cell r="G98" t="str">
            <v>Нет</v>
          </cell>
          <cell r="H98" t="str">
            <v>Да</v>
          </cell>
          <cell r="I98" t="str">
            <v>Да</v>
          </cell>
          <cell r="J98" t="str">
            <v>Да</v>
          </cell>
          <cell r="K98" t="str">
            <v>Да</v>
          </cell>
          <cell r="L98" t="str">
            <v>Да</v>
          </cell>
          <cell r="M98" t="str">
            <v>* Доставка до Европы авто</v>
          </cell>
        </row>
        <row r="99">
          <cell r="C99" t="str">
            <v>КУВЕЙТ</v>
          </cell>
          <cell r="D99" t="str">
            <v>25-40 дней</v>
          </cell>
          <cell r="E99" t="str">
            <v>Доставка авиатранспортом</v>
          </cell>
          <cell r="F99" t="str">
            <v>Да</v>
          </cell>
          <cell r="G99" t="str">
            <v>Нет</v>
          </cell>
          <cell r="H99" t="str">
            <v>Да</v>
          </cell>
          <cell r="I99" t="str">
            <v>Да</v>
          </cell>
          <cell r="J99" t="str">
            <v>Да</v>
          </cell>
          <cell r="K99" t="str">
            <v>Да</v>
          </cell>
          <cell r="L99" t="str">
            <v>Да</v>
          </cell>
        </row>
        <row r="100">
          <cell r="C100" t="str">
            <v>КЮРАСАО</v>
          </cell>
          <cell r="D100" t="str">
            <v>сроки будут определены по мере разработки и запуска логистических решений</v>
          </cell>
          <cell r="E100" t="str">
            <v>Логистическое решение  по доставке в страну временно отсутствует</v>
          </cell>
          <cell r="F100" t="str">
            <v>Нет</v>
          </cell>
          <cell r="G100" t="str">
            <v>Нет</v>
          </cell>
          <cell r="H100" t="str">
            <v>Нет</v>
          </cell>
          <cell r="I100" t="str">
            <v>Нет</v>
          </cell>
          <cell r="J100" t="str">
            <v>Нет</v>
          </cell>
          <cell r="K100" t="str">
            <v>Нет</v>
          </cell>
          <cell r="L100" t="str">
            <v>Нет</v>
          </cell>
        </row>
        <row r="101">
          <cell r="C101" t="str">
            <v>ЛАОС</v>
          </cell>
          <cell r="D101" t="str">
            <v>25-40 дней</v>
          </cell>
          <cell r="E101" t="str">
            <v>Доставка авиатранспортом</v>
          </cell>
          <cell r="F101" t="str">
            <v>Нет</v>
          </cell>
          <cell r="G101" t="str">
            <v>Нет</v>
          </cell>
          <cell r="H101" t="str">
            <v>Нет</v>
          </cell>
          <cell r="I101" t="str">
            <v>Да</v>
          </cell>
          <cell r="J101" t="str">
            <v>Нет</v>
          </cell>
          <cell r="K101" t="str">
            <v>Да</v>
          </cell>
          <cell r="L101" t="str">
            <v>Да</v>
          </cell>
        </row>
        <row r="102">
          <cell r="C102" t="str">
            <v>ЛАТВИЯ</v>
          </cell>
          <cell r="D102" t="str">
            <v>15-30 дней</v>
          </cell>
          <cell r="E102" t="str">
            <v>Доставка возможна наземным и авиа транспортом</v>
          </cell>
          <cell r="F102" t="str">
            <v>Да</v>
          </cell>
          <cell r="G102" t="str">
            <v>Да</v>
          </cell>
          <cell r="H102" t="str">
            <v>Да</v>
          </cell>
          <cell r="I102" t="str">
            <v>Да</v>
          </cell>
          <cell r="J102" t="str">
            <v>Да</v>
          </cell>
          <cell r="K102" t="str">
            <v>Да</v>
          </cell>
          <cell r="L102" t="str">
            <v>Да</v>
          </cell>
        </row>
        <row r="103">
          <cell r="C103" t="str">
            <v>ЛЕСОТО</v>
          </cell>
          <cell r="D103" t="str">
            <v>сроки будут определены по мере разработки и запуска логистических решений</v>
          </cell>
          <cell r="E103" t="str">
            <v>Логистическое решение  по доставке в страну временно отсутствует</v>
          </cell>
          <cell r="F103" t="str">
            <v>Нет</v>
          </cell>
          <cell r="G103" t="str">
            <v>Нет</v>
          </cell>
          <cell r="H103" t="str">
            <v>Нет</v>
          </cell>
          <cell r="I103" t="str">
            <v>Нет</v>
          </cell>
          <cell r="J103" t="str">
            <v>Нет</v>
          </cell>
          <cell r="K103" t="str">
            <v>Нет</v>
          </cell>
          <cell r="L103" t="str">
            <v>Нет</v>
          </cell>
        </row>
        <row r="104">
          <cell r="C104" t="str">
            <v>ЛИБЕРИЯ</v>
          </cell>
          <cell r="D104" t="str">
            <v>25-40 дней</v>
          </cell>
          <cell r="E104" t="str">
            <v>Доставка авиатранспортом</v>
          </cell>
          <cell r="F104" t="str">
            <v>Да</v>
          </cell>
          <cell r="G104" t="str">
            <v>Нет</v>
          </cell>
          <cell r="H104" t="str">
            <v>Нет</v>
          </cell>
          <cell r="I104" t="str">
            <v>Да</v>
          </cell>
          <cell r="J104" t="str">
            <v>Да</v>
          </cell>
          <cell r="K104" t="str">
            <v>Да</v>
          </cell>
          <cell r="L104" t="str">
            <v>Да</v>
          </cell>
        </row>
        <row r="105">
          <cell r="C105" t="str">
            <v>ЛИВАН</v>
          </cell>
          <cell r="D105" t="str">
            <v>20-30 дней</v>
          </cell>
          <cell r="E105" t="str">
            <v>Доставка авиатранспортом</v>
          </cell>
          <cell r="F105" t="str">
            <v>Да</v>
          </cell>
          <cell r="G105" t="str">
            <v>Нет</v>
          </cell>
          <cell r="H105" t="str">
            <v>Да</v>
          </cell>
          <cell r="I105" t="str">
            <v>Да</v>
          </cell>
          <cell r="J105" t="str">
            <v>Да</v>
          </cell>
          <cell r="K105" t="str">
            <v>Да</v>
          </cell>
          <cell r="L105" t="str">
            <v>Да</v>
          </cell>
        </row>
        <row r="106">
          <cell r="C106" t="str">
            <v>ЛИВИЯ</v>
          </cell>
          <cell r="D106" t="str">
            <v>сроки будут определены по мере разработки и запуска логистических решений</v>
          </cell>
          <cell r="E106" t="str">
            <v>Логистическое решение  по доставке в страну временно отсутствует</v>
          </cell>
          <cell r="F106" t="str">
            <v>Нет</v>
          </cell>
          <cell r="G106" t="str">
            <v>Нет</v>
          </cell>
          <cell r="H106" t="str">
            <v>Нет</v>
          </cell>
          <cell r="I106" t="str">
            <v>Нет</v>
          </cell>
          <cell r="J106" t="str">
            <v>Нет</v>
          </cell>
          <cell r="K106" t="str">
            <v>Нет</v>
          </cell>
          <cell r="L106" t="str">
            <v>Нет</v>
          </cell>
        </row>
        <row r="107">
          <cell r="C107" t="str">
            <v>ЛИТВА</v>
          </cell>
          <cell r="D107" t="str">
            <v>20-30 дней</v>
          </cell>
          <cell r="E107" t="str">
            <v>Доставка возможна наземным и авиа транспортом</v>
          </cell>
          <cell r="F107" t="str">
            <v>Да</v>
          </cell>
          <cell r="G107" t="str">
            <v>Да</v>
          </cell>
          <cell r="H107" t="str">
            <v>Да</v>
          </cell>
          <cell r="I107" t="str">
            <v>Да</v>
          </cell>
          <cell r="J107" t="str">
            <v>Да</v>
          </cell>
          <cell r="K107" t="str">
            <v>Да</v>
          </cell>
          <cell r="L107" t="str">
            <v>Да</v>
          </cell>
        </row>
        <row r="108">
          <cell r="C108" t="str">
            <v>ЛИХТЕНШТЕЙН</v>
          </cell>
          <cell r="D108" t="str">
            <v>25-35 дней</v>
          </cell>
          <cell r="E108" t="str">
            <v>Доставка возможна наземным и авиа транспортом</v>
          </cell>
          <cell r="F108" t="str">
            <v>Да</v>
          </cell>
          <cell r="G108" t="str">
            <v>Да</v>
          </cell>
          <cell r="H108" t="str">
            <v>Да</v>
          </cell>
          <cell r="I108" t="str">
            <v>Да</v>
          </cell>
          <cell r="J108" t="str">
            <v>Нет</v>
          </cell>
          <cell r="K108" t="str">
            <v>Да</v>
          </cell>
          <cell r="L108" t="str">
            <v>Да</v>
          </cell>
        </row>
        <row r="109">
          <cell r="C109" t="str">
            <v>ЛЮКСЕМБУРГ</v>
          </cell>
          <cell r="D109" t="str">
            <v>15-30 дней</v>
          </cell>
          <cell r="E109" t="str">
            <v>Доставка возможна наземным и авиа транспортом</v>
          </cell>
          <cell r="F109" t="str">
            <v>Да</v>
          </cell>
          <cell r="G109" t="str">
            <v>Да</v>
          </cell>
          <cell r="H109" t="str">
            <v>Да</v>
          </cell>
          <cell r="I109" t="str">
            <v>Да</v>
          </cell>
          <cell r="J109" t="str">
            <v>Да</v>
          </cell>
          <cell r="K109" t="str">
            <v>Да</v>
          </cell>
          <cell r="L109" t="str">
            <v>Да</v>
          </cell>
        </row>
        <row r="110">
          <cell r="C110" t="str">
            <v>МАВРИКИЙ</v>
          </cell>
          <cell r="D110" t="str">
            <v>30-45 дней</v>
          </cell>
          <cell r="E110" t="str">
            <v>Доставка авиатранспортом</v>
          </cell>
          <cell r="F110" t="str">
            <v>Да</v>
          </cell>
          <cell r="G110" t="str">
            <v>Нет</v>
          </cell>
          <cell r="H110" t="str">
            <v>Да</v>
          </cell>
          <cell r="I110" t="str">
            <v>Да</v>
          </cell>
          <cell r="J110" t="str">
            <v>Нет</v>
          </cell>
          <cell r="K110" t="str">
            <v>Да</v>
          </cell>
          <cell r="L110" t="str">
            <v>Да</v>
          </cell>
        </row>
        <row r="111">
          <cell r="C111" t="str">
            <v>МАВРИТАНИЯ</v>
          </cell>
          <cell r="D111" t="str">
            <v>25-40 дней</v>
          </cell>
          <cell r="E111" t="str">
            <v>Доставка авиатранспортом</v>
          </cell>
          <cell r="F111" t="str">
            <v>Нет</v>
          </cell>
          <cell r="G111" t="str">
            <v>Нет</v>
          </cell>
          <cell r="H111" t="str">
            <v>Нет</v>
          </cell>
          <cell r="I111" t="str">
            <v>Да</v>
          </cell>
          <cell r="J111" t="str">
            <v>Нет</v>
          </cell>
          <cell r="K111" t="str">
            <v>Да</v>
          </cell>
          <cell r="L111" t="str">
            <v>Да</v>
          </cell>
        </row>
        <row r="112">
          <cell r="C112" t="str">
            <v>МАДАГАСКАР</v>
          </cell>
          <cell r="D112" t="str">
            <v>30-45 дней</v>
          </cell>
          <cell r="E112" t="str">
            <v>Доставка авиатранспортом</v>
          </cell>
          <cell r="F112" t="str">
            <v>Нет</v>
          </cell>
          <cell r="G112" t="str">
            <v>Нет</v>
          </cell>
          <cell r="H112" t="str">
            <v>Нет</v>
          </cell>
          <cell r="I112" t="str">
            <v>Да</v>
          </cell>
          <cell r="J112" t="str">
            <v>Нет</v>
          </cell>
          <cell r="K112" t="str">
            <v>Да</v>
          </cell>
          <cell r="L112" t="str">
            <v>Да</v>
          </cell>
        </row>
        <row r="113">
          <cell r="C113" t="str">
            <v>МАКАО</v>
          </cell>
          <cell r="D113" t="str">
            <v>25-40 дней</v>
          </cell>
          <cell r="E113" t="str">
            <v>Доставка авиатранспортом</v>
          </cell>
          <cell r="F113" t="str">
            <v>Да</v>
          </cell>
          <cell r="G113" t="str">
            <v>Нет</v>
          </cell>
          <cell r="H113" t="str">
            <v>Да</v>
          </cell>
          <cell r="I113" t="str">
            <v>Да</v>
          </cell>
          <cell r="J113" t="str">
            <v>Да</v>
          </cell>
          <cell r="K113" t="str">
            <v>Да</v>
          </cell>
          <cell r="L113" t="str">
            <v>Да</v>
          </cell>
        </row>
        <row r="114">
          <cell r="C114" t="str">
            <v>МАЛАВИ</v>
          </cell>
          <cell r="D114" t="str">
            <v>25-40 дней</v>
          </cell>
          <cell r="E114" t="str">
            <v>Доставка авиатранспортом</v>
          </cell>
          <cell r="F114" t="str">
            <v>Нет</v>
          </cell>
          <cell r="G114" t="str">
            <v>Нет</v>
          </cell>
          <cell r="H114" t="str">
            <v>Нет</v>
          </cell>
          <cell r="I114" t="str">
            <v>Да</v>
          </cell>
          <cell r="J114" t="str">
            <v>Нет</v>
          </cell>
          <cell r="K114" t="str">
            <v>Да</v>
          </cell>
          <cell r="L114" t="str">
            <v>Да</v>
          </cell>
        </row>
        <row r="115">
          <cell r="C115" t="str">
            <v>МАЛАЙЗИЯ</v>
          </cell>
          <cell r="D115" t="str">
            <v>25-40 дней</v>
          </cell>
          <cell r="E115" t="str">
            <v>Доставка авиатранспортом</v>
          </cell>
          <cell r="F115" t="str">
            <v>Да</v>
          </cell>
          <cell r="G115" t="str">
            <v>Нет</v>
          </cell>
          <cell r="H115" t="str">
            <v>Да</v>
          </cell>
          <cell r="I115" t="str">
            <v>Да</v>
          </cell>
          <cell r="J115" t="str">
            <v>Да</v>
          </cell>
          <cell r="K115" t="str">
            <v>Да</v>
          </cell>
          <cell r="L115" t="str">
            <v>Да</v>
          </cell>
        </row>
        <row r="116">
          <cell r="C116" t="str">
            <v>МАЛИ</v>
          </cell>
          <cell r="D116" t="str">
            <v>25-40 дней</v>
          </cell>
          <cell r="E116" t="str">
            <v>Доставка авиатранспортом</v>
          </cell>
          <cell r="F116" t="str">
            <v>Нет</v>
          </cell>
          <cell r="G116" t="str">
            <v>Нет</v>
          </cell>
          <cell r="H116" t="str">
            <v>Нет</v>
          </cell>
          <cell r="I116" t="str">
            <v>Да</v>
          </cell>
          <cell r="J116" t="str">
            <v>Нет</v>
          </cell>
          <cell r="K116" t="str">
            <v>Да</v>
          </cell>
          <cell r="L116" t="str">
            <v>Да</v>
          </cell>
        </row>
        <row r="117">
          <cell r="C117" t="str">
            <v>МАЛЬДИВЫ</v>
          </cell>
          <cell r="D117" t="str">
            <v>15-35 дней</v>
          </cell>
          <cell r="E117" t="str">
            <v>Доставка авиатранспортом</v>
          </cell>
          <cell r="F117" t="str">
            <v>Да</v>
          </cell>
          <cell r="G117" t="str">
            <v>Нет</v>
          </cell>
          <cell r="H117" t="str">
            <v>Да</v>
          </cell>
          <cell r="I117" t="str">
            <v>Да</v>
          </cell>
          <cell r="J117" t="str">
            <v>Нет</v>
          </cell>
          <cell r="K117" t="str">
            <v>Да</v>
          </cell>
          <cell r="L117" t="str">
            <v>Да</v>
          </cell>
        </row>
        <row r="118">
          <cell r="C118" t="str">
            <v>МАЛЬТА</v>
          </cell>
          <cell r="D118" t="str">
            <v>20-30 дней</v>
          </cell>
          <cell r="E118" t="str">
            <v>Доставка авиатранспортом</v>
          </cell>
          <cell r="F118" t="str">
            <v>Да</v>
          </cell>
          <cell r="G118" t="str">
            <v>Нет</v>
          </cell>
          <cell r="H118" t="str">
            <v>Да</v>
          </cell>
          <cell r="I118" t="str">
            <v>Да</v>
          </cell>
          <cell r="J118" t="str">
            <v>Да</v>
          </cell>
          <cell r="K118" t="str">
            <v>Да</v>
          </cell>
          <cell r="L118" t="str">
            <v>Да</v>
          </cell>
        </row>
        <row r="119">
          <cell r="C119" t="str">
            <v>МАРОККО</v>
          </cell>
          <cell r="D119" t="str">
            <v>15-30 дней</v>
          </cell>
          <cell r="E119" t="str">
            <v>Доставка авиатранспортом</v>
          </cell>
          <cell r="F119" t="str">
            <v>Да</v>
          </cell>
          <cell r="G119" t="str">
            <v>Нет</v>
          </cell>
          <cell r="H119" t="str">
            <v>Да</v>
          </cell>
          <cell r="I119" t="str">
            <v>Да</v>
          </cell>
          <cell r="J119" t="str">
            <v>Да</v>
          </cell>
          <cell r="K119" t="str">
            <v>Да</v>
          </cell>
          <cell r="L119" t="str">
            <v>Да</v>
          </cell>
        </row>
        <row r="120">
          <cell r="C120" t="str">
            <v>МАРШАЛЛОВЫ ОСТРОВА</v>
          </cell>
          <cell r="D120" t="str">
            <v>сроки будут определены по мере разработки и запуска логистических решений</v>
          </cell>
          <cell r="E120" t="str">
            <v>Логистическое решение  по доставке в страну временно отсутствует</v>
          </cell>
          <cell r="F120" t="str">
            <v>Нет</v>
          </cell>
          <cell r="G120" t="str">
            <v>Нет</v>
          </cell>
          <cell r="H120" t="str">
            <v>Нет</v>
          </cell>
          <cell r="I120" t="str">
            <v>Нет</v>
          </cell>
          <cell r="J120" t="str">
            <v>Нет</v>
          </cell>
          <cell r="K120" t="str">
            <v>Нет</v>
          </cell>
          <cell r="L120" t="str">
            <v>Нет</v>
          </cell>
        </row>
        <row r="121">
          <cell r="C121" t="str">
            <v>МЕКСИКА</v>
          </cell>
          <cell r="D121" t="str">
            <v>15-35 дней</v>
          </cell>
          <cell r="E121" t="str">
            <v>Доставка авиатранспортом</v>
          </cell>
          <cell r="F121" t="str">
            <v>Да</v>
          </cell>
          <cell r="G121" t="str">
            <v>Нет</v>
          </cell>
          <cell r="H121" t="str">
            <v>Да</v>
          </cell>
          <cell r="I121" t="str">
            <v>Да</v>
          </cell>
          <cell r="J121" t="str">
            <v>Да</v>
          </cell>
          <cell r="K121" t="str">
            <v>Да</v>
          </cell>
          <cell r="L121" t="str">
            <v>Да</v>
          </cell>
        </row>
        <row r="122">
          <cell r="C122" t="str">
            <v>МИКРОНЕЗИЯ, ФЕДЕРАТИВНЫЕ ШТАТЫ</v>
          </cell>
          <cell r="D122" t="str">
            <v>сроки будут определены по мере разработки и запуска логистических решений</v>
          </cell>
          <cell r="E122" t="str">
            <v>Логистическое решение  по доставке в страну временно отсутствует</v>
          </cell>
          <cell r="F122" t="str">
            <v>Нет</v>
          </cell>
          <cell r="G122" t="str">
            <v>Нет</v>
          </cell>
          <cell r="H122" t="str">
            <v>Нет</v>
          </cell>
          <cell r="I122" t="str">
            <v>Нет</v>
          </cell>
          <cell r="J122" t="str">
            <v>Нет</v>
          </cell>
          <cell r="K122" t="str">
            <v>Нет</v>
          </cell>
          <cell r="L122" t="str">
            <v>Нет</v>
          </cell>
        </row>
        <row r="123">
          <cell r="C123" t="str">
            <v>МОЗАМБИК</v>
          </cell>
          <cell r="D123" t="str">
            <v>25-40 дней</v>
          </cell>
          <cell r="E123" t="str">
            <v>Доставка авиатранспортом</v>
          </cell>
          <cell r="F123" t="str">
            <v>Да</v>
          </cell>
          <cell r="G123" t="str">
            <v>Нет</v>
          </cell>
          <cell r="H123" t="str">
            <v>Да</v>
          </cell>
          <cell r="I123" t="str">
            <v>Да</v>
          </cell>
          <cell r="J123" t="str">
            <v>Да</v>
          </cell>
          <cell r="K123" t="str">
            <v>Да</v>
          </cell>
          <cell r="L123" t="str">
            <v>Да</v>
          </cell>
        </row>
        <row r="124">
          <cell r="C124" t="str">
            <v>МОЛДОВА, РЕСПУБЛИКА</v>
          </cell>
          <cell r="D124" t="str">
            <v>15-30 дней</v>
          </cell>
          <cell r="E124" t="str">
            <v>Доставка авиатранспортом</v>
          </cell>
          <cell r="F124" t="str">
            <v>Да</v>
          </cell>
          <cell r="G124" t="str">
            <v>Нет</v>
          </cell>
          <cell r="H124" t="str">
            <v>Да</v>
          </cell>
          <cell r="I124" t="str">
            <v>Да</v>
          </cell>
          <cell r="J124" t="str">
            <v>Да</v>
          </cell>
          <cell r="K124" t="str">
            <v>Да</v>
          </cell>
          <cell r="L124" t="str">
            <v>Да</v>
          </cell>
        </row>
        <row r="125">
          <cell r="C125" t="str">
            <v>МОНАКО</v>
          </cell>
          <cell r="D125" t="str">
            <v>25-35 дней</v>
          </cell>
          <cell r="E125" t="str">
            <v>Доставка возможна наземным и авиа транспортом</v>
          </cell>
          <cell r="F125" t="str">
            <v>Да</v>
          </cell>
          <cell r="G125" t="str">
            <v>Да</v>
          </cell>
          <cell r="H125" t="str">
            <v>Да</v>
          </cell>
          <cell r="I125" t="str">
            <v>Да</v>
          </cell>
          <cell r="J125" t="str">
            <v>Да</v>
          </cell>
          <cell r="K125" t="str">
            <v>Да</v>
          </cell>
          <cell r="L125" t="str">
            <v>Да</v>
          </cell>
        </row>
        <row r="126">
          <cell r="C126" t="str">
            <v>МОНГОЛИЯ</v>
          </cell>
          <cell r="D126" t="str">
            <v>30-45 дней</v>
          </cell>
          <cell r="E126" t="str">
            <v>Доставка возможна наземным и авиа транспортом</v>
          </cell>
          <cell r="F126" t="str">
            <v>Да</v>
          </cell>
          <cell r="G126" t="str">
            <v>Да</v>
          </cell>
          <cell r="H126" t="str">
            <v>Да</v>
          </cell>
          <cell r="I126" t="str">
            <v>Да</v>
          </cell>
          <cell r="J126" t="str">
            <v>Да</v>
          </cell>
          <cell r="K126" t="str">
            <v>Да</v>
          </cell>
          <cell r="L126" t="str">
            <v>Да</v>
          </cell>
        </row>
        <row r="127">
          <cell r="C127" t="str">
            <v>МЬЯНМА</v>
          </cell>
          <cell r="D127" t="str">
            <v>25-40 дней</v>
          </cell>
          <cell r="E127" t="str">
            <v>Доставка авиатранспортом</v>
          </cell>
          <cell r="F127" t="str">
            <v>Нет</v>
          </cell>
          <cell r="G127" t="str">
            <v>Нет</v>
          </cell>
          <cell r="H127" t="str">
            <v>Нет</v>
          </cell>
          <cell r="I127" t="str">
            <v>Да</v>
          </cell>
          <cell r="J127" t="str">
            <v>Нет</v>
          </cell>
          <cell r="K127" t="str">
            <v>Да</v>
          </cell>
          <cell r="L127" t="str">
            <v>Да</v>
          </cell>
        </row>
        <row r="128">
          <cell r="C128" t="str">
            <v>НАМИБИЯ</v>
          </cell>
          <cell r="D128" t="str">
            <v>25-40 дней</v>
          </cell>
          <cell r="E128" t="str">
            <v>Доставка авиатранспортом</v>
          </cell>
          <cell r="F128" t="str">
            <v>Нет</v>
          </cell>
          <cell r="G128" t="str">
            <v>Нет</v>
          </cell>
          <cell r="H128" t="str">
            <v>Нет</v>
          </cell>
          <cell r="I128" t="str">
            <v>Да</v>
          </cell>
          <cell r="J128" t="str">
            <v>Нет</v>
          </cell>
          <cell r="K128" t="str">
            <v>Да</v>
          </cell>
          <cell r="L128" t="str">
            <v>Да</v>
          </cell>
        </row>
        <row r="129">
          <cell r="C129" t="str">
            <v>НАУРУ</v>
          </cell>
          <cell r="D129" t="str">
            <v>сроки будут определены по мере разработки и запуска логистических решений</v>
          </cell>
          <cell r="E129" t="str">
            <v>Логистическое решение  по доставке в страну временно отсутствует</v>
          </cell>
          <cell r="F129" t="str">
            <v>Нет</v>
          </cell>
          <cell r="G129" t="str">
            <v>Нет</v>
          </cell>
          <cell r="H129" t="str">
            <v>Нет</v>
          </cell>
          <cell r="I129" t="str">
            <v>Нет</v>
          </cell>
          <cell r="J129" t="str">
            <v>Нет</v>
          </cell>
          <cell r="K129" t="str">
            <v>Нет</v>
          </cell>
          <cell r="L129" t="str">
            <v>Нет</v>
          </cell>
        </row>
        <row r="130">
          <cell r="C130" t="str">
            <v>НЕПАЛ</v>
          </cell>
          <cell r="D130" t="str">
            <v>15-35 дней</v>
          </cell>
          <cell r="E130" t="str">
            <v>Доставка авиатранспортом</v>
          </cell>
          <cell r="F130" t="str">
            <v>Нет</v>
          </cell>
          <cell r="G130" t="str">
            <v>Нет</v>
          </cell>
          <cell r="H130" t="str">
            <v>Нет</v>
          </cell>
          <cell r="I130" t="str">
            <v>Да</v>
          </cell>
          <cell r="J130" t="str">
            <v>Нет</v>
          </cell>
          <cell r="K130" t="str">
            <v>Да</v>
          </cell>
          <cell r="L130" t="str">
            <v>Да</v>
          </cell>
        </row>
        <row r="131">
          <cell r="C131" t="str">
            <v>НИГЕР</v>
          </cell>
          <cell r="D131" t="str">
            <v>25-40 дней</v>
          </cell>
          <cell r="E131" t="str">
            <v>Доставка авиатранспортом</v>
          </cell>
          <cell r="F131" t="str">
            <v>Нет</v>
          </cell>
          <cell r="G131" t="str">
            <v>Нет</v>
          </cell>
          <cell r="H131" t="str">
            <v>Нет</v>
          </cell>
          <cell r="I131" t="str">
            <v>Да</v>
          </cell>
          <cell r="J131" t="str">
            <v>Нет</v>
          </cell>
          <cell r="K131" t="str">
            <v>Да</v>
          </cell>
          <cell r="L131" t="str">
            <v>Да</v>
          </cell>
        </row>
        <row r="132">
          <cell r="C132" t="str">
            <v>НИГЕРИЯ</v>
          </cell>
          <cell r="D132" t="str">
            <v>25-40 дней</v>
          </cell>
          <cell r="E132" t="str">
            <v>Доставка авиатранспортом</v>
          </cell>
          <cell r="F132" t="str">
            <v>Да</v>
          </cell>
          <cell r="G132" t="str">
            <v>Нет</v>
          </cell>
          <cell r="H132" t="str">
            <v>Да</v>
          </cell>
          <cell r="I132" t="str">
            <v>Да</v>
          </cell>
          <cell r="J132" t="str">
            <v>Да</v>
          </cell>
          <cell r="K132" t="str">
            <v>Да</v>
          </cell>
          <cell r="L132" t="str">
            <v>Да</v>
          </cell>
        </row>
        <row r="133">
          <cell r="C133" t="str">
            <v>НИДЕРЛАНДЫ</v>
          </cell>
          <cell r="D133" t="str">
            <v>15-30 дней</v>
          </cell>
          <cell r="E133" t="str">
            <v>Доставка возможна наземным и авиа транспортом</v>
          </cell>
          <cell r="F133" t="str">
            <v>Да</v>
          </cell>
          <cell r="G133" t="str">
            <v>Да</v>
          </cell>
          <cell r="H133" t="str">
            <v>Да</v>
          </cell>
          <cell r="I133" t="str">
            <v>Да</v>
          </cell>
          <cell r="J133" t="str">
            <v>Да</v>
          </cell>
          <cell r="K133" t="str">
            <v>Да</v>
          </cell>
          <cell r="L133" t="str">
            <v>Да</v>
          </cell>
        </row>
        <row r="134">
          <cell r="C134" t="str">
            <v>НИКАРАГУА</v>
          </cell>
          <cell r="D134" t="str">
            <v>20-35 дней</v>
          </cell>
          <cell r="E134" t="str">
            <v>Доставка авиатранспортом</v>
          </cell>
          <cell r="F134" t="str">
            <v>Нет</v>
          </cell>
          <cell r="G134" t="str">
            <v>Нет</v>
          </cell>
          <cell r="H134" t="str">
            <v>Нет</v>
          </cell>
          <cell r="I134" t="str">
            <v>Да</v>
          </cell>
          <cell r="J134" t="str">
            <v>Нет</v>
          </cell>
          <cell r="K134" t="str">
            <v>Да</v>
          </cell>
          <cell r="L134" t="str">
            <v>Да</v>
          </cell>
        </row>
        <row r="135">
          <cell r="C135" t="str">
            <v>НИУЭ</v>
          </cell>
          <cell r="D135" t="str">
            <v>сроки будут определены по мере разработки и запуска логистических решений</v>
          </cell>
          <cell r="E135" t="str">
            <v>Логистическое решение  по доставке в страну временно отсутствует</v>
          </cell>
          <cell r="F135" t="str">
            <v>Нет</v>
          </cell>
          <cell r="G135" t="str">
            <v>Нет</v>
          </cell>
          <cell r="H135" t="str">
            <v>Нет</v>
          </cell>
          <cell r="I135" t="str">
            <v>Нет</v>
          </cell>
          <cell r="J135" t="str">
            <v>Нет</v>
          </cell>
          <cell r="K135" t="str">
            <v>Нет</v>
          </cell>
          <cell r="L135" t="str">
            <v>Нет</v>
          </cell>
        </row>
        <row r="136">
          <cell r="C136" t="str">
            <v>НОВАЯ ЗЕЛАНДИЯ</v>
          </cell>
          <cell r="D136" t="str">
            <v>20-30 дней</v>
          </cell>
          <cell r="E136" t="str">
            <v>Доставка авиатранспортом</v>
          </cell>
          <cell r="F136" t="str">
            <v>Нет</v>
          </cell>
          <cell r="G136" t="str">
            <v>Нет</v>
          </cell>
          <cell r="H136" t="str">
            <v>Нет</v>
          </cell>
          <cell r="I136" t="str">
            <v>Да</v>
          </cell>
          <cell r="J136" t="str">
            <v>Нет</v>
          </cell>
          <cell r="K136" t="str">
            <v>Да</v>
          </cell>
          <cell r="L136" t="str">
            <v>Да</v>
          </cell>
        </row>
        <row r="137">
          <cell r="C137" t="str">
            <v>НОВАЯ КАЛЕДОНИЯ</v>
          </cell>
          <cell r="D137" t="str">
            <v>сроки будут определены по мере разработки и запуска логистических решений</v>
          </cell>
          <cell r="E137" t="str">
            <v>Логистическое решение  по доставке в страну временно отсутствует</v>
          </cell>
          <cell r="F137" t="str">
            <v>Нет</v>
          </cell>
          <cell r="G137" t="str">
            <v>Нет</v>
          </cell>
          <cell r="H137" t="str">
            <v>Нет</v>
          </cell>
          <cell r="I137" t="str">
            <v>Нет</v>
          </cell>
          <cell r="J137" t="str">
            <v>Нет</v>
          </cell>
          <cell r="K137" t="str">
            <v>Нет</v>
          </cell>
          <cell r="L137" t="str">
            <v>Нет</v>
          </cell>
        </row>
        <row r="138">
          <cell r="C138" t="str">
            <v>НОРВЕГИЯ</v>
          </cell>
          <cell r="D138" t="str">
            <v>15-30 дней</v>
          </cell>
          <cell r="E138" t="str">
            <v>Доставка возможна наземным и авиа транспортом</v>
          </cell>
          <cell r="F138" t="str">
            <v>Да</v>
          </cell>
          <cell r="G138" t="str">
            <v>Да</v>
          </cell>
          <cell r="H138" t="str">
            <v>Да</v>
          </cell>
          <cell r="I138" t="str">
            <v>Да</v>
          </cell>
          <cell r="J138" t="str">
            <v>Нет</v>
          </cell>
          <cell r="K138" t="str">
            <v>Да</v>
          </cell>
          <cell r="L138" t="str">
            <v>Да</v>
          </cell>
        </row>
        <row r="139">
          <cell r="C139" t="str">
            <v>ОБЪЕДИНЕННЫЕ АРАБСКИЕ ЭМИРАТЫ</v>
          </cell>
          <cell r="D139" t="str">
            <v>10-25 дней</v>
          </cell>
          <cell r="E139" t="str">
            <v>Доставка авиатранспортом</v>
          </cell>
          <cell r="F139" t="str">
            <v>Да</v>
          </cell>
          <cell r="G139" t="str">
            <v>Нет</v>
          </cell>
          <cell r="H139" t="str">
            <v>Да</v>
          </cell>
          <cell r="I139" t="str">
            <v>Да</v>
          </cell>
          <cell r="J139" t="str">
            <v>Да</v>
          </cell>
          <cell r="K139" t="str">
            <v>Да</v>
          </cell>
          <cell r="L139" t="str">
            <v>Да</v>
          </cell>
        </row>
        <row r="140">
          <cell r="C140" t="str">
            <v>ОМАН</v>
          </cell>
          <cell r="D140" t="str">
            <v>20-30 дней</v>
          </cell>
          <cell r="E140" t="str">
            <v>Доставка авиатранспортом</v>
          </cell>
          <cell r="F140" t="str">
            <v>Да</v>
          </cell>
          <cell r="G140" t="str">
            <v>Нет</v>
          </cell>
          <cell r="H140" t="str">
            <v>Да</v>
          </cell>
          <cell r="I140" t="str">
            <v>Да</v>
          </cell>
          <cell r="J140" t="str">
            <v>Нет</v>
          </cell>
          <cell r="K140" t="str">
            <v>Да</v>
          </cell>
          <cell r="L140" t="str">
            <v>Да</v>
          </cell>
        </row>
        <row r="141">
          <cell r="C141" t="str">
            <v>ПАКИСТАН</v>
          </cell>
          <cell r="D141" t="str">
            <v>20-30 дней</v>
          </cell>
          <cell r="E141" t="str">
            <v>Доставка авиатранспортом</v>
          </cell>
          <cell r="F141" t="str">
            <v>Да</v>
          </cell>
          <cell r="G141" t="str">
            <v>Нет</v>
          </cell>
          <cell r="H141" t="str">
            <v>Да</v>
          </cell>
          <cell r="I141" t="str">
            <v>Да</v>
          </cell>
          <cell r="J141" t="str">
            <v>Да</v>
          </cell>
          <cell r="K141" t="str">
            <v>Да</v>
          </cell>
          <cell r="L141" t="str">
            <v>Да</v>
          </cell>
        </row>
        <row r="142">
          <cell r="C142" t="str">
            <v>ПАЛАУ</v>
          </cell>
          <cell r="D142" t="str">
            <v>сроки будут определены по мере разработки и запуска логистических решений</v>
          </cell>
          <cell r="E142" t="str">
            <v>Логистическое решение  по доставке в страну временно отсутствует</v>
          </cell>
          <cell r="F142" t="str">
            <v>Нет</v>
          </cell>
          <cell r="G142" t="str">
            <v>Нет</v>
          </cell>
          <cell r="H142" t="str">
            <v>Нет</v>
          </cell>
          <cell r="I142" t="str">
            <v>Нет</v>
          </cell>
          <cell r="J142" t="str">
            <v>Нет</v>
          </cell>
          <cell r="K142" t="str">
            <v>Нет</v>
          </cell>
          <cell r="L142" t="str">
            <v>Нет</v>
          </cell>
        </row>
        <row r="143">
          <cell r="C143" t="str">
            <v>ПАЛЕСТИНА, ГОСУДАРСТВО</v>
          </cell>
          <cell r="D143" t="str">
            <v>сроки будут определены по мере разработки и запуска логистических решений</v>
          </cell>
          <cell r="E143" t="str">
            <v>Логистическое решение  по доставке в страну временно отсутствует</v>
          </cell>
          <cell r="F143" t="str">
            <v>Нет</v>
          </cell>
          <cell r="G143" t="str">
            <v>Нет</v>
          </cell>
          <cell r="H143" t="str">
            <v>Нет</v>
          </cell>
          <cell r="I143" t="str">
            <v>Нет</v>
          </cell>
          <cell r="J143" t="str">
            <v>Нет</v>
          </cell>
          <cell r="K143" t="str">
            <v>Нет</v>
          </cell>
          <cell r="L143" t="str">
            <v>Нет</v>
          </cell>
        </row>
        <row r="144">
          <cell r="C144" t="str">
            <v>ПАНАМА</v>
          </cell>
          <cell r="D144" t="str">
            <v>20-35 дней</v>
          </cell>
          <cell r="E144" t="str">
            <v>Доставка авиатранспортом</v>
          </cell>
          <cell r="F144" t="str">
            <v>Нет</v>
          </cell>
          <cell r="G144" t="str">
            <v>Нет</v>
          </cell>
          <cell r="H144" t="str">
            <v>Нет</v>
          </cell>
          <cell r="I144" t="str">
            <v>Да</v>
          </cell>
          <cell r="J144" t="str">
            <v>Нет</v>
          </cell>
          <cell r="K144" t="str">
            <v>Да</v>
          </cell>
          <cell r="L144" t="str">
            <v>Да</v>
          </cell>
        </row>
        <row r="145">
          <cell r="C145" t="str">
            <v>ПАПУА-НОВАЯ ГВИНЕЯ</v>
          </cell>
          <cell r="D145" t="str">
            <v>сроки будут определены по мере разработки и запуска логистических решений</v>
          </cell>
          <cell r="E145" t="str">
            <v>Логистическое решение  по доставке в страну временно отсутствует</v>
          </cell>
          <cell r="F145" t="str">
            <v>Нет</v>
          </cell>
          <cell r="G145" t="str">
            <v>Нет</v>
          </cell>
          <cell r="H145" t="str">
            <v>Нет</v>
          </cell>
          <cell r="I145" t="str">
            <v>Нет</v>
          </cell>
          <cell r="J145" t="str">
            <v>Нет</v>
          </cell>
          <cell r="K145" t="str">
            <v>Нет</v>
          </cell>
          <cell r="L145" t="str">
            <v>Нет</v>
          </cell>
        </row>
        <row r="146">
          <cell r="C146" t="str">
            <v>ПАРАГВАЙ</v>
          </cell>
          <cell r="D146" t="str">
            <v>сроки будут определены по мере разработки и запуска логистических решений</v>
          </cell>
          <cell r="E146" t="str">
            <v>Логистическое решение  по доставке в страну временно отсутствует</v>
          </cell>
          <cell r="F146" t="str">
            <v>Нет</v>
          </cell>
          <cell r="G146" t="str">
            <v>Нет</v>
          </cell>
          <cell r="H146" t="str">
            <v>Нет</v>
          </cell>
          <cell r="I146" t="str">
            <v>Нет</v>
          </cell>
          <cell r="J146" t="str">
            <v>Нет</v>
          </cell>
          <cell r="K146" t="str">
            <v>Нет</v>
          </cell>
          <cell r="L146" t="str">
            <v>Нет</v>
          </cell>
        </row>
        <row r="147">
          <cell r="C147" t="str">
            <v>ПЕРУ</v>
          </cell>
          <cell r="D147" t="str">
            <v>15-35 дней</v>
          </cell>
          <cell r="E147" t="str">
            <v>Доставка авиатранспортом</v>
          </cell>
          <cell r="F147" t="str">
            <v>Да</v>
          </cell>
          <cell r="G147" t="str">
            <v>Нет</v>
          </cell>
          <cell r="H147" t="str">
            <v>Да</v>
          </cell>
          <cell r="I147" t="str">
            <v>Да</v>
          </cell>
          <cell r="J147" t="str">
            <v>Да</v>
          </cell>
          <cell r="K147" t="str">
            <v>Да</v>
          </cell>
          <cell r="L147" t="str">
            <v>Да</v>
          </cell>
        </row>
        <row r="148">
          <cell r="C148" t="str">
            <v>ПОЛЬША</v>
          </cell>
          <cell r="D148" t="str">
            <v>сроки будут определены по мере разработки и запуска логистических решений</v>
          </cell>
          <cell r="E148" t="str">
            <v>Логистическое решение  по доставке в страну временно отсутствует</v>
          </cell>
          <cell r="F148" t="str">
            <v>Нет</v>
          </cell>
          <cell r="G148" t="str">
            <v>Нет</v>
          </cell>
          <cell r="H148" t="str">
            <v>Нет</v>
          </cell>
          <cell r="I148" t="str">
            <v>Нет</v>
          </cell>
          <cell r="J148" t="str">
            <v>Нет</v>
          </cell>
          <cell r="K148" t="str">
            <v>Нет</v>
          </cell>
          <cell r="L148" t="str">
            <v>Нет</v>
          </cell>
        </row>
        <row r="149">
          <cell r="C149" t="str">
            <v>ПОРТУГАЛИЯ</v>
          </cell>
          <cell r="D149" t="str">
            <v>15-30 дней</v>
          </cell>
          <cell r="E149" t="str">
            <v>Доставка возможна наземным и авиа транспортом</v>
          </cell>
          <cell r="F149" t="str">
            <v>Да</v>
          </cell>
          <cell r="G149" t="str">
            <v>Да</v>
          </cell>
          <cell r="H149" t="str">
            <v>Да</v>
          </cell>
          <cell r="I149" t="str">
            <v>Да</v>
          </cell>
          <cell r="J149" t="str">
            <v>Да</v>
          </cell>
          <cell r="K149" t="str">
            <v>Да</v>
          </cell>
          <cell r="L149" t="str">
            <v>Да</v>
          </cell>
        </row>
        <row r="150">
          <cell r="C150" t="str">
            <v>ПУЭРТО-РИКО</v>
          </cell>
          <cell r="D150" t="str">
            <v>20-35 дней</v>
          </cell>
          <cell r="E150" t="str">
            <v>Доставка авиатранспортом</v>
          </cell>
          <cell r="F150" t="str">
            <v>Да</v>
          </cell>
          <cell r="G150" t="str">
            <v>Нет</v>
          </cell>
          <cell r="H150" t="str">
            <v>Да</v>
          </cell>
          <cell r="I150" t="str">
            <v>Да</v>
          </cell>
          <cell r="J150" t="str">
            <v>Да</v>
          </cell>
          <cell r="K150" t="str">
            <v>Да</v>
          </cell>
          <cell r="L150" t="str">
            <v>Да</v>
          </cell>
        </row>
        <row r="151">
          <cell r="C151" t="str">
            <v>РУАНДА</v>
          </cell>
          <cell r="D151" t="str">
            <v>25-40 дней</v>
          </cell>
          <cell r="E151" t="str">
            <v>Доставка авиатранспортом</v>
          </cell>
          <cell r="F151" t="str">
            <v>Нет</v>
          </cell>
          <cell r="G151" t="str">
            <v>Нет</v>
          </cell>
          <cell r="H151" t="str">
            <v>Нет</v>
          </cell>
          <cell r="I151" t="str">
            <v>Да</v>
          </cell>
          <cell r="J151" t="str">
            <v>Нет</v>
          </cell>
          <cell r="K151" t="str">
            <v>Да</v>
          </cell>
          <cell r="L151" t="str">
            <v>Да</v>
          </cell>
        </row>
        <row r="152">
          <cell r="C152" t="str">
            <v>РУМЫНИЯ</v>
          </cell>
          <cell r="D152" t="str">
            <v>15-30 дней</v>
          </cell>
          <cell r="E152" t="str">
            <v>Доставка возможна наземным и авиа транспортом</v>
          </cell>
          <cell r="F152" t="str">
            <v>Да</v>
          </cell>
          <cell r="G152" t="str">
            <v>Да</v>
          </cell>
          <cell r="H152" t="str">
            <v>Да</v>
          </cell>
          <cell r="I152" t="str">
            <v>Да</v>
          </cell>
          <cell r="J152" t="str">
            <v>Да</v>
          </cell>
          <cell r="K152" t="str">
            <v>Да</v>
          </cell>
          <cell r="L152" t="str">
            <v>Да</v>
          </cell>
        </row>
        <row r="153">
          <cell r="C153" t="str">
            <v>САЛЬВАДОР</v>
          </cell>
          <cell r="D153" t="str">
            <v>сроки будут определены по мере разработки и запуска логистических решений</v>
          </cell>
          <cell r="E153" t="str">
            <v>Логистическое решение  по доставке в страну временно отсутствует</v>
          </cell>
          <cell r="F153" t="str">
            <v>Нет</v>
          </cell>
          <cell r="G153" t="str">
            <v>Нет</v>
          </cell>
          <cell r="H153" t="str">
            <v>Нет</v>
          </cell>
          <cell r="I153" t="str">
            <v>Нет</v>
          </cell>
          <cell r="J153" t="str">
            <v>Нет</v>
          </cell>
          <cell r="K153" t="str">
            <v>Нет</v>
          </cell>
          <cell r="L153" t="str">
            <v>Нет</v>
          </cell>
        </row>
        <row r="154">
          <cell r="C154" t="str">
            <v>САМОА</v>
          </cell>
          <cell r="D154" t="str">
            <v>сроки будут определены по мере разработки и запуска логистических решений</v>
          </cell>
          <cell r="E154" t="str">
            <v>Логистическое решение  по доставке в страну временно отсутствует</v>
          </cell>
          <cell r="F154" t="str">
            <v>Нет</v>
          </cell>
          <cell r="G154" t="str">
            <v>Нет</v>
          </cell>
          <cell r="H154" t="str">
            <v>Нет</v>
          </cell>
          <cell r="I154" t="str">
            <v>Нет</v>
          </cell>
          <cell r="J154" t="str">
            <v>Нет</v>
          </cell>
          <cell r="K154" t="str">
            <v>Нет</v>
          </cell>
          <cell r="L154" t="str">
            <v>Нет</v>
          </cell>
        </row>
        <row r="155">
          <cell r="C155" t="str">
            <v>САН-МАРИНО</v>
          </cell>
          <cell r="D155" t="str">
            <v>25-35 дней</v>
          </cell>
          <cell r="E155" t="str">
            <v>Доставка возможна наземным и авиа транспортом</v>
          </cell>
          <cell r="F155" t="str">
            <v>Да</v>
          </cell>
          <cell r="G155" t="str">
            <v>Нет</v>
          </cell>
          <cell r="H155" t="str">
            <v>Да</v>
          </cell>
          <cell r="I155" t="str">
            <v>Да</v>
          </cell>
          <cell r="J155" t="str">
            <v>Да</v>
          </cell>
          <cell r="K155" t="str">
            <v>Да</v>
          </cell>
          <cell r="L155" t="str">
            <v>Да</v>
          </cell>
        </row>
        <row r="156">
          <cell r="C156" t="str">
            <v>САН-ТОМЕ И ПРИНСИПИ</v>
          </cell>
          <cell r="D156" t="str">
            <v>сроки будут определены по мере разработки и запуска логистических решений</v>
          </cell>
          <cell r="E156" t="str">
            <v>Логистическое решение  по доставке в страну временно отсутствует</v>
          </cell>
          <cell r="F156" t="str">
            <v>Нет</v>
          </cell>
          <cell r="G156" t="str">
            <v>Нет</v>
          </cell>
          <cell r="H156" t="str">
            <v>Нет</v>
          </cell>
          <cell r="I156" t="str">
            <v>Нет</v>
          </cell>
          <cell r="J156" t="str">
            <v>Нет</v>
          </cell>
          <cell r="K156" t="str">
            <v>Нет</v>
          </cell>
          <cell r="L156" t="str">
            <v>Нет</v>
          </cell>
        </row>
        <row r="157">
          <cell r="C157" t="str">
            <v>САУДОВСКАЯ АРАВИЯ</v>
          </cell>
          <cell r="D157" t="str">
            <v>20-30 дней</v>
          </cell>
          <cell r="E157" t="str">
            <v>Доставка авиатранспортом</v>
          </cell>
          <cell r="F157" t="str">
            <v>Да</v>
          </cell>
          <cell r="G157" t="str">
            <v>Нет</v>
          </cell>
          <cell r="H157" t="str">
            <v>Да</v>
          </cell>
          <cell r="I157" t="str">
            <v>Да</v>
          </cell>
          <cell r="J157" t="str">
            <v>Нет</v>
          </cell>
          <cell r="K157" t="str">
            <v>Да</v>
          </cell>
          <cell r="L157" t="str">
            <v>Да</v>
          </cell>
        </row>
        <row r="158">
          <cell r="C158" t="str">
            <v>СЕВЕРНАЯ МАКЕДОНИЯ</v>
          </cell>
          <cell r="D158" t="str">
            <v>15-30 дней</v>
          </cell>
          <cell r="E158" t="str">
            <v>Доставка авиатранспортом</v>
          </cell>
          <cell r="F158" t="str">
            <v>Да</v>
          </cell>
          <cell r="G158" t="str">
            <v>Нет</v>
          </cell>
          <cell r="H158" t="str">
            <v>Да</v>
          </cell>
          <cell r="I158" t="str">
            <v>Да</v>
          </cell>
          <cell r="J158" t="str">
            <v>Да</v>
          </cell>
          <cell r="K158" t="str">
            <v>Да</v>
          </cell>
          <cell r="L158" t="str">
            <v>Да</v>
          </cell>
        </row>
        <row r="159">
          <cell r="C159" t="str">
            <v>СЕЙШЕЛЫ</v>
          </cell>
          <cell r="D159" t="str">
            <v>15-35 дней</v>
          </cell>
          <cell r="E159" t="str">
            <v>Доставка авиатранспортом</v>
          </cell>
          <cell r="F159" t="str">
            <v>Да</v>
          </cell>
          <cell r="G159" t="str">
            <v>Нет</v>
          </cell>
          <cell r="H159" t="str">
            <v>Да</v>
          </cell>
          <cell r="I159" t="str">
            <v>Да</v>
          </cell>
          <cell r="J159" t="str">
            <v>Да</v>
          </cell>
          <cell r="K159" t="str">
            <v>Да</v>
          </cell>
          <cell r="L159" t="str">
            <v>Да</v>
          </cell>
        </row>
        <row r="160">
          <cell r="C160" t="str">
            <v>СЕНЕГАЛ</v>
          </cell>
          <cell r="D160" t="str">
            <v>25-40 дней</v>
          </cell>
          <cell r="E160" t="str">
            <v>Доставка авиатранспортом</v>
          </cell>
          <cell r="F160" t="str">
            <v>Нет</v>
          </cell>
          <cell r="G160" t="str">
            <v>Нет</v>
          </cell>
          <cell r="H160" t="str">
            <v>Нет</v>
          </cell>
          <cell r="I160" t="str">
            <v>Да</v>
          </cell>
          <cell r="J160" t="str">
            <v>Нет</v>
          </cell>
          <cell r="K160" t="str">
            <v>Да</v>
          </cell>
          <cell r="L160" t="str">
            <v>Да</v>
          </cell>
        </row>
        <row r="161">
          <cell r="C161" t="str">
            <v>СЕНТ-ВИНСЕНТ И ГРЕНАДИНЫ</v>
          </cell>
          <cell r="D161" t="str">
            <v>сроки будут определены по мере разработки и запуска логистических решений</v>
          </cell>
          <cell r="E161" t="str">
            <v>Логистическое решение  по доставке в страну временно отсутствует</v>
          </cell>
          <cell r="F161" t="str">
            <v>Нет</v>
          </cell>
          <cell r="G161" t="str">
            <v>Нет</v>
          </cell>
          <cell r="H161" t="str">
            <v>Нет</v>
          </cell>
          <cell r="I161" t="str">
            <v>Нет</v>
          </cell>
          <cell r="J161" t="str">
            <v>Нет</v>
          </cell>
          <cell r="K161" t="str">
            <v>Нет</v>
          </cell>
          <cell r="L161" t="str">
            <v>Нет</v>
          </cell>
        </row>
        <row r="162">
          <cell r="C162" t="str">
            <v>СЕНТ-КИТС И НЕВИС</v>
          </cell>
          <cell r="D162" t="str">
            <v>сроки будут определены по мере разработки и запуска логистических решений</v>
          </cell>
          <cell r="E162" t="str">
            <v>Логистическое решение  по доставке в страну временно отсутствует</v>
          </cell>
          <cell r="F162" t="str">
            <v>Нет</v>
          </cell>
          <cell r="G162" t="str">
            <v>Нет</v>
          </cell>
          <cell r="H162" t="str">
            <v>Нет</v>
          </cell>
          <cell r="I162" t="str">
            <v>Нет</v>
          </cell>
          <cell r="J162" t="str">
            <v>Нет</v>
          </cell>
          <cell r="K162" t="str">
            <v>Нет</v>
          </cell>
          <cell r="L162" t="str">
            <v>Нет</v>
          </cell>
        </row>
        <row r="163">
          <cell r="C163" t="str">
            <v>СЕНТ-ЛЮСИЯ</v>
          </cell>
          <cell r="D163" t="str">
            <v>сроки будут определены по мере разработки и запуска логистических решений</v>
          </cell>
          <cell r="E163" t="str">
            <v>Логистическое решение  по доставке в страну временно отсутствует</v>
          </cell>
          <cell r="F163" t="str">
            <v>Нет</v>
          </cell>
          <cell r="G163" t="str">
            <v>Нет</v>
          </cell>
          <cell r="H163" t="str">
            <v>Нет</v>
          </cell>
          <cell r="I163" t="str">
            <v>Нет</v>
          </cell>
          <cell r="J163" t="str">
            <v>Нет</v>
          </cell>
          <cell r="K163" t="str">
            <v>Нет</v>
          </cell>
          <cell r="L163" t="str">
            <v>Нет</v>
          </cell>
        </row>
        <row r="164">
          <cell r="C164" t="str">
            <v>СЕРБИЯ</v>
          </cell>
          <cell r="D164" t="str">
            <v>15-30 дней</v>
          </cell>
          <cell r="E164" t="str">
            <v>Доставка авиатранспортом</v>
          </cell>
          <cell r="F164" t="str">
            <v>Да</v>
          </cell>
          <cell r="G164" t="str">
            <v>Нет</v>
          </cell>
          <cell r="H164" t="str">
            <v>Да</v>
          </cell>
          <cell r="I164" t="str">
            <v>Да</v>
          </cell>
          <cell r="J164" t="str">
            <v>Да</v>
          </cell>
          <cell r="K164" t="str">
            <v>Да</v>
          </cell>
          <cell r="L164" t="str">
            <v>Да</v>
          </cell>
        </row>
        <row r="165">
          <cell r="C165" t="str">
            <v>СИНГАПУР</v>
          </cell>
          <cell r="D165" t="str">
            <v>25-40 дней</v>
          </cell>
          <cell r="E165" t="str">
            <v>Доставка авиатранспортом</v>
          </cell>
          <cell r="F165" t="str">
            <v>Да</v>
          </cell>
          <cell r="G165" t="str">
            <v>Нет</v>
          </cell>
          <cell r="H165" t="str">
            <v>Да</v>
          </cell>
          <cell r="I165" t="str">
            <v>Да</v>
          </cell>
          <cell r="J165" t="str">
            <v>Да</v>
          </cell>
          <cell r="K165" t="str">
            <v>Да</v>
          </cell>
          <cell r="L165" t="str">
            <v>Да</v>
          </cell>
        </row>
        <row r="166">
          <cell r="C166" t="str">
            <v>СИРИЙСКАЯ АРАБСКАЯ РЕСПУБЛИКА</v>
          </cell>
          <cell r="D166" t="str">
            <v>сроки будут определены по мере разработки и запуска логистических решений</v>
          </cell>
          <cell r="E166" t="str">
            <v>Логистическое решение  по доставке в страну временно отсутствует</v>
          </cell>
          <cell r="F166" t="str">
            <v>Нет</v>
          </cell>
          <cell r="G166" t="str">
            <v>Нет</v>
          </cell>
          <cell r="H166" t="str">
            <v>Нет</v>
          </cell>
          <cell r="I166" t="str">
            <v>Нет</v>
          </cell>
          <cell r="J166" t="str">
            <v>Нет</v>
          </cell>
          <cell r="K166" t="str">
            <v>Нет</v>
          </cell>
          <cell r="L166" t="str">
            <v>Нет</v>
          </cell>
        </row>
        <row r="167">
          <cell r="C167" t="str">
            <v>СЛОВАКИЯ</v>
          </cell>
          <cell r="D167" t="str">
            <v>20-30 дней</v>
          </cell>
          <cell r="E167" t="str">
            <v>Доставка возможна наземным и авиа транспортом</v>
          </cell>
          <cell r="F167" t="str">
            <v>Да</v>
          </cell>
          <cell r="G167" t="str">
            <v>Да</v>
          </cell>
          <cell r="H167" t="str">
            <v>Да</v>
          </cell>
          <cell r="I167" t="str">
            <v>Да</v>
          </cell>
          <cell r="J167" t="str">
            <v>Да</v>
          </cell>
          <cell r="K167" t="str">
            <v>Да</v>
          </cell>
          <cell r="L167" t="str">
            <v>Да</v>
          </cell>
        </row>
        <row r="168">
          <cell r="C168" t="str">
            <v>СЛОВЕНИЯ</v>
          </cell>
          <cell r="D168" t="str">
            <v>15-30 дней</v>
          </cell>
          <cell r="E168" t="str">
            <v>Доставка возможна наземным и авиа транспортом</v>
          </cell>
          <cell r="F168" t="str">
            <v>Да</v>
          </cell>
          <cell r="G168" t="str">
            <v>Да</v>
          </cell>
          <cell r="H168" t="str">
            <v>Да</v>
          </cell>
          <cell r="I168" t="str">
            <v>Да</v>
          </cell>
          <cell r="J168" t="str">
            <v>Нет</v>
          </cell>
          <cell r="K168" t="str">
            <v>Да</v>
          </cell>
          <cell r="L168" t="str">
            <v>Да</v>
          </cell>
        </row>
        <row r="169">
          <cell r="C169" t="str">
            <v>СОЕДИНЕННЫЕ ШТАТЫ АМЕРИКИ</v>
          </cell>
          <cell r="D169" t="str">
            <v>10-30 дней</v>
          </cell>
          <cell r="E169" t="str">
            <v>Доставка авиатранспортом</v>
          </cell>
          <cell r="F169" t="str">
            <v>Да</v>
          </cell>
          <cell r="G169" t="str">
            <v>Нет</v>
          </cell>
          <cell r="H169" t="str">
            <v>Да</v>
          </cell>
          <cell r="I169" t="str">
            <v>Да</v>
          </cell>
          <cell r="J169" t="str">
            <v>Да</v>
          </cell>
          <cell r="K169" t="str">
            <v>Да</v>
          </cell>
          <cell r="L169" t="str">
            <v>Да</v>
          </cell>
        </row>
        <row r="170">
          <cell r="C170" t="str">
            <v>СОЛОМОНОВЫ ОСТРОВА</v>
          </cell>
          <cell r="D170" t="str">
            <v>сроки будут определены по мере разработки и запуска логистических решений</v>
          </cell>
          <cell r="E170" t="str">
            <v>Логистическое решение  по доставке в страну временно отсутствует</v>
          </cell>
          <cell r="F170" t="str">
            <v>Нет</v>
          </cell>
          <cell r="G170" t="str">
            <v>Нет</v>
          </cell>
          <cell r="H170" t="str">
            <v>Нет</v>
          </cell>
          <cell r="I170" t="str">
            <v>Нет</v>
          </cell>
          <cell r="J170" t="str">
            <v>Нет</v>
          </cell>
          <cell r="K170" t="str">
            <v>Нет</v>
          </cell>
          <cell r="L170" t="str">
            <v>Нет</v>
          </cell>
        </row>
        <row r="171">
          <cell r="C171" t="str">
            <v>СОМАЛИ</v>
          </cell>
          <cell r="D171" t="str">
            <v>сроки будут определены по мере разработки и запуска логистических решений</v>
          </cell>
          <cell r="E171" t="str">
            <v>Логистическое решение  по доставке в страну временно отсутствует</v>
          </cell>
          <cell r="F171" t="str">
            <v>Нет</v>
          </cell>
          <cell r="G171" t="str">
            <v>Нет</v>
          </cell>
          <cell r="H171" t="str">
            <v>Нет</v>
          </cell>
          <cell r="I171" t="str">
            <v>Нет</v>
          </cell>
          <cell r="J171" t="str">
            <v>Нет</v>
          </cell>
          <cell r="K171" t="str">
            <v>Нет</v>
          </cell>
          <cell r="L171" t="str">
            <v>Нет</v>
          </cell>
        </row>
        <row r="172">
          <cell r="C172" t="str">
            <v>СУДАН</v>
          </cell>
          <cell r="D172" t="str">
            <v>сроки будут определены по мере разработки и запуска логистических решений</v>
          </cell>
          <cell r="E172" t="str">
            <v>Логистическое решение  по доставке в страну временно отсутствует</v>
          </cell>
          <cell r="F172" t="str">
            <v>Нет</v>
          </cell>
          <cell r="G172" t="str">
            <v>Нет</v>
          </cell>
          <cell r="H172" t="str">
            <v>Нет</v>
          </cell>
          <cell r="I172" t="str">
            <v>Нет</v>
          </cell>
          <cell r="J172" t="str">
            <v>Нет</v>
          </cell>
          <cell r="K172" t="str">
            <v>Нет</v>
          </cell>
          <cell r="L172" t="str">
            <v>Нет</v>
          </cell>
        </row>
        <row r="173">
          <cell r="C173" t="str">
            <v>СУРИНАМ</v>
          </cell>
          <cell r="D173" t="str">
            <v>сроки будут определены по мере разработки и запуска логистических решений</v>
          </cell>
          <cell r="E173" t="str">
            <v>Логистическое решение  по доставке в страну временно отсутствует</v>
          </cell>
          <cell r="F173" t="str">
            <v>Нет</v>
          </cell>
          <cell r="G173" t="str">
            <v>Нет</v>
          </cell>
          <cell r="H173" t="str">
            <v>Нет</v>
          </cell>
          <cell r="I173" t="str">
            <v>Нет</v>
          </cell>
          <cell r="J173" t="str">
            <v>Нет</v>
          </cell>
          <cell r="K173" t="str">
            <v>Нет</v>
          </cell>
          <cell r="L173" t="str">
            <v>Нет</v>
          </cell>
        </row>
        <row r="174">
          <cell r="C174" t="str">
            <v>СЬЕРРА-ЛЕОНЕ</v>
          </cell>
          <cell r="D174" t="str">
            <v>25-40 дней</v>
          </cell>
          <cell r="E174" t="str">
            <v>Доставка авиатранспортом</v>
          </cell>
          <cell r="F174" t="str">
            <v>Нет</v>
          </cell>
          <cell r="G174" t="str">
            <v>Нет</v>
          </cell>
          <cell r="H174" t="str">
            <v>Нет</v>
          </cell>
          <cell r="I174" t="str">
            <v>Да</v>
          </cell>
          <cell r="J174" t="str">
            <v>Нет</v>
          </cell>
          <cell r="K174" t="str">
            <v>Да</v>
          </cell>
          <cell r="L174" t="str">
            <v>Да</v>
          </cell>
        </row>
        <row r="175">
          <cell r="C175" t="str">
            <v>ТАДЖИКИСТАН</v>
          </cell>
          <cell r="D175" t="str">
            <v>15-30 дней</v>
          </cell>
          <cell r="E175" t="str">
            <v>Доставка авиатранспортом</v>
          </cell>
          <cell r="F175" t="str">
            <v>Да</v>
          </cell>
          <cell r="G175" t="str">
            <v>Нет</v>
          </cell>
          <cell r="H175" t="str">
            <v>Да</v>
          </cell>
          <cell r="I175" t="str">
            <v>Да</v>
          </cell>
          <cell r="J175" t="str">
            <v>Да</v>
          </cell>
          <cell r="K175" t="str">
            <v>Да</v>
          </cell>
          <cell r="L175" t="str">
            <v>Да</v>
          </cell>
        </row>
        <row r="176">
          <cell r="C176" t="str">
            <v>ТАИЛАНД</v>
          </cell>
          <cell r="D176" t="str">
            <v>25-40 дней</v>
          </cell>
          <cell r="E176" t="str">
            <v>Доставка авиатранспортом</v>
          </cell>
          <cell r="F176" t="str">
            <v>Да</v>
          </cell>
          <cell r="G176" t="str">
            <v>Нет</v>
          </cell>
          <cell r="H176" t="str">
            <v>Да</v>
          </cell>
          <cell r="I176" t="str">
            <v>Да</v>
          </cell>
          <cell r="J176" t="str">
            <v>Нет</v>
          </cell>
          <cell r="K176" t="str">
            <v>Да</v>
          </cell>
          <cell r="L176" t="str">
            <v>Да</v>
          </cell>
        </row>
        <row r="177">
          <cell r="C177" t="str">
            <v>ТАЙВАНЬ (КИТАЙ)</v>
          </cell>
          <cell r="D177" t="str">
            <v>25-40 дней</v>
          </cell>
          <cell r="E177" t="str">
            <v>Доставка авиатранспортом</v>
          </cell>
          <cell r="F177" t="str">
            <v>Да</v>
          </cell>
          <cell r="G177" t="str">
            <v>Нет</v>
          </cell>
          <cell r="H177" t="str">
            <v>Да</v>
          </cell>
          <cell r="I177" t="str">
            <v>Да</v>
          </cell>
          <cell r="J177" t="str">
            <v>Да</v>
          </cell>
          <cell r="K177" t="str">
            <v>Да</v>
          </cell>
          <cell r="L177" t="str">
            <v>Да</v>
          </cell>
        </row>
        <row r="178">
          <cell r="C178" t="str">
            <v>ТАНЗАНИЯ, ОБЪЕДИНЕННАЯ РЕСПУБЛИКА</v>
          </cell>
          <cell r="D178" t="str">
            <v>25-40 дней</v>
          </cell>
          <cell r="E178" t="str">
            <v>Доставка авиатранспортом</v>
          </cell>
          <cell r="F178" t="str">
            <v>Нет</v>
          </cell>
          <cell r="G178" t="str">
            <v>Нет</v>
          </cell>
          <cell r="H178" t="str">
            <v>Нет</v>
          </cell>
          <cell r="I178" t="str">
            <v>Да</v>
          </cell>
          <cell r="J178" t="str">
            <v>Нет</v>
          </cell>
          <cell r="K178" t="str">
            <v>Да</v>
          </cell>
          <cell r="L178" t="str">
            <v>Да</v>
          </cell>
        </row>
        <row r="179">
          <cell r="C179" t="str">
            <v>ТИМОР-ЛЕСТЕ</v>
          </cell>
          <cell r="D179" t="str">
            <v>сроки будут определены по мере разработки и запуска логистических решений</v>
          </cell>
          <cell r="E179" t="str">
            <v>Логистическое решение  по доставке в страну временно отсутствует</v>
          </cell>
          <cell r="F179" t="str">
            <v>Нет</v>
          </cell>
          <cell r="G179" t="str">
            <v>Нет</v>
          </cell>
          <cell r="H179" t="str">
            <v>Нет</v>
          </cell>
          <cell r="I179" t="str">
            <v>Нет</v>
          </cell>
          <cell r="J179" t="str">
            <v>Нет</v>
          </cell>
          <cell r="K179" t="str">
            <v>Нет</v>
          </cell>
          <cell r="L179" t="str">
            <v>Нет</v>
          </cell>
        </row>
        <row r="180">
          <cell r="C180" t="str">
            <v>ТОГО</v>
          </cell>
          <cell r="D180" t="str">
            <v>25-40 дней</v>
          </cell>
          <cell r="E180" t="str">
            <v>Доставка авиатранспортом</v>
          </cell>
          <cell r="F180" t="str">
            <v>Нет</v>
          </cell>
          <cell r="G180" t="str">
            <v>Нет</v>
          </cell>
          <cell r="H180" t="str">
            <v>Нет</v>
          </cell>
          <cell r="I180" t="str">
            <v>Да</v>
          </cell>
          <cell r="J180" t="str">
            <v>Нет</v>
          </cell>
          <cell r="K180" t="str">
            <v>Да</v>
          </cell>
          <cell r="L180" t="str">
            <v>Да</v>
          </cell>
        </row>
        <row r="181">
          <cell r="C181" t="str">
            <v>ТОНГА</v>
          </cell>
          <cell r="D181" t="str">
            <v>сроки будут определены по мере разработки и запуска логистических решений</v>
          </cell>
          <cell r="E181" t="str">
            <v>Логистическое решение  по доставке в страну временно отсутствует</v>
          </cell>
          <cell r="F181" t="str">
            <v>Нет</v>
          </cell>
          <cell r="G181" t="str">
            <v>Нет</v>
          </cell>
          <cell r="H181" t="str">
            <v>Нет</v>
          </cell>
          <cell r="I181" t="str">
            <v>Нет</v>
          </cell>
          <cell r="J181" t="str">
            <v>Нет</v>
          </cell>
          <cell r="K181" t="str">
            <v>Нет</v>
          </cell>
          <cell r="L181" t="str">
            <v>Нет</v>
          </cell>
        </row>
        <row r="182">
          <cell r="C182" t="str">
            <v>ТРИНИДАД И ТОБАГО</v>
          </cell>
          <cell r="D182" t="str">
            <v>сроки будут определены по мере разработки и запуска логистических решений</v>
          </cell>
          <cell r="E182" t="str">
            <v>Логистическое решение  по доставке в страну временно отсутствует</v>
          </cell>
          <cell r="F182" t="str">
            <v>Нет</v>
          </cell>
          <cell r="G182" t="str">
            <v>Нет</v>
          </cell>
          <cell r="H182" t="str">
            <v>Нет</v>
          </cell>
          <cell r="I182" t="str">
            <v>Нет</v>
          </cell>
          <cell r="J182" t="str">
            <v>Нет</v>
          </cell>
          <cell r="K182" t="str">
            <v>Нет</v>
          </cell>
          <cell r="L182" t="str">
            <v>Нет</v>
          </cell>
        </row>
        <row r="183">
          <cell r="C183" t="str">
            <v>ТУВАЛУ</v>
          </cell>
          <cell r="D183" t="str">
            <v>сроки будут определены по мере разработки и запуска логистических решений</v>
          </cell>
          <cell r="E183" t="str">
            <v>Логистическое решение  по доставке в страну временно отсутствует</v>
          </cell>
          <cell r="F183" t="str">
            <v>Нет</v>
          </cell>
          <cell r="G183" t="str">
            <v>Нет</v>
          </cell>
          <cell r="H183" t="str">
            <v>Нет</v>
          </cell>
          <cell r="I183" t="str">
            <v>Нет</v>
          </cell>
          <cell r="J183" t="str">
            <v>Нет</v>
          </cell>
          <cell r="K183" t="str">
            <v>Нет</v>
          </cell>
          <cell r="L183" t="str">
            <v>Нет</v>
          </cell>
        </row>
        <row r="184">
          <cell r="C184" t="str">
            <v>ТУНИС</v>
          </cell>
          <cell r="D184" t="str">
            <v>25-40 дней</v>
          </cell>
          <cell r="E184" t="str">
            <v>Доставка авиатранспортом</v>
          </cell>
          <cell r="F184" t="str">
            <v>Да</v>
          </cell>
          <cell r="G184" t="str">
            <v>Нет</v>
          </cell>
          <cell r="H184" t="str">
            <v>Да</v>
          </cell>
          <cell r="I184" t="str">
            <v>Да</v>
          </cell>
          <cell r="J184" t="str">
            <v>Да</v>
          </cell>
          <cell r="K184" t="str">
            <v>Да</v>
          </cell>
          <cell r="L184" t="str">
            <v>Да</v>
          </cell>
        </row>
        <row r="185">
          <cell r="C185" t="str">
            <v>ТУРКМЕНИСТАН</v>
          </cell>
          <cell r="D185" t="str">
            <v>30-45 дней</v>
          </cell>
          <cell r="E185" t="str">
            <v>Доставка авиатранспортом</v>
          </cell>
          <cell r="F185" t="str">
            <v>Да</v>
          </cell>
          <cell r="G185" t="str">
            <v>Нет</v>
          </cell>
          <cell r="H185" t="str">
            <v>Да</v>
          </cell>
          <cell r="I185" t="str">
            <v>Да</v>
          </cell>
          <cell r="J185" t="str">
            <v>Да</v>
          </cell>
          <cell r="K185" t="str">
            <v>Да</v>
          </cell>
          <cell r="L185" t="str">
            <v>Да</v>
          </cell>
        </row>
        <row r="186">
          <cell r="C186" t="str">
            <v>ТУРЦИЯ</v>
          </cell>
          <cell r="D186" t="str">
            <v>10-25 дней</v>
          </cell>
          <cell r="E186" t="str">
            <v>Доставка авиатранспортом</v>
          </cell>
          <cell r="F186" t="str">
            <v>Да</v>
          </cell>
          <cell r="G186" t="str">
            <v>Нет</v>
          </cell>
          <cell r="H186" t="str">
            <v>Да</v>
          </cell>
          <cell r="I186" t="str">
            <v>Да</v>
          </cell>
          <cell r="J186" t="str">
            <v>Да</v>
          </cell>
          <cell r="K186" t="str">
            <v>Да</v>
          </cell>
          <cell r="L186" t="str">
            <v>Да</v>
          </cell>
        </row>
        <row r="187">
          <cell r="C187" t="str">
            <v>УГАНДА</v>
          </cell>
          <cell r="D187" t="str">
            <v>25-40 дней</v>
          </cell>
          <cell r="E187" t="str">
            <v>Доставка авиатранспортом</v>
          </cell>
          <cell r="F187" t="str">
            <v>Нет</v>
          </cell>
          <cell r="G187" t="str">
            <v>Нет</v>
          </cell>
          <cell r="H187" t="str">
            <v>Нет</v>
          </cell>
          <cell r="I187" t="str">
            <v>Да</v>
          </cell>
          <cell r="J187" t="str">
            <v>Нет</v>
          </cell>
          <cell r="K187" t="str">
            <v>Да</v>
          </cell>
          <cell r="L187" t="str">
            <v>Да</v>
          </cell>
        </row>
        <row r="188">
          <cell r="C188" t="str">
            <v>УЗБЕКИСТАН</v>
          </cell>
          <cell r="D188" t="str">
            <v>15-30 дней</v>
          </cell>
          <cell r="E188" t="str">
            <v>Доставка авиатранспортом</v>
          </cell>
          <cell r="F188" t="str">
            <v>Да</v>
          </cell>
          <cell r="G188" t="str">
            <v>Нет</v>
          </cell>
          <cell r="H188" t="str">
            <v>Да</v>
          </cell>
          <cell r="I188" t="str">
            <v>Да</v>
          </cell>
          <cell r="J188" t="str">
            <v>Да</v>
          </cell>
          <cell r="K188" t="str">
            <v>Да</v>
          </cell>
          <cell r="L188" t="str">
            <v>Да</v>
          </cell>
        </row>
        <row r="189">
          <cell r="C189" t="str">
            <v>УКРАИНА</v>
          </cell>
          <cell r="D189" t="str">
            <v>сроки будут определены по мере разработки и запуска логистических решений</v>
          </cell>
          <cell r="E189" t="str">
            <v>Логистическое решение  по доставке в страну временно отсутствует</v>
          </cell>
          <cell r="F189" t="str">
            <v>Нет</v>
          </cell>
          <cell r="G189" t="str">
            <v>Нет</v>
          </cell>
          <cell r="H189" t="str">
            <v>Нет</v>
          </cell>
          <cell r="I189" t="str">
            <v>Нет</v>
          </cell>
          <cell r="J189" t="str">
            <v>Нет</v>
          </cell>
          <cell r="K189" t="str">
            <v>Нет</v>
          </cell>
          <cell r="L189" t="str">
            <v>Нет</v>
          </cell>
        </row>
        <row r="190">
          <cell r="C190" t="str">
            <v>УРУГВАЙ</v>
          </cell>
          <cell r="D190" t="str">
            <v>сроки будут определены по мере разработки и запуска логистических решений</v>
          </cell>
          <cell r="E190" t="str">
            <v>Логистическое решение  по доставке в страну временно отсутствует</v>
          </cell>
          <cell r="F190" t="str">
            <v>Нет</v>
          </cell>
          <cell r="G190" t="str">
            <v>Нет</v>
          </cell>
          <cell r="H190" t="str">
            <v>Нет</v>
          </cell>
          <cell r="I190" t="str">
            <v>Нет</v>
          </cell>
          <cell r="J190" t="str">
            <v>Нет</v>
          </cell>
          <cell r="K190" t="str">
            <v>Нет</v>
          </cell>
          <cell r="L190" t="str">
            <v>Нет</v>
          </cell>
        </row>
        <row r="191">
          <cell r="C191" t="str">
            <v>ФИДЖИ</v>
          </cell>
          <cell r="D191" t="str">
            <v>сроки будут определены по мере разработки и запуска логистических решений</v>
          </cell>
          <cell r="E191" t="str">
            <v>Логистическое решение  по доставке в страну временно отсутствует</v>
          </cell>
          <cell r="F191" t="str">
            <v>Нет</v>
          </cell>
          <cell r="G191" t="str">
            <v>Нет</v>
          </cell>
          <cell r="H191" t="str">
            <v>Нет</v>
          </cell>
          <cell r="I191" t="str">
            <v>Нет</v>
          </cell>
          <cell r="J191" t="str">
            <v>Нет</v>
          </cell>
          <cell r="K191" t="str">
            <v>Нет</v>
          </cell>
          <cell r="L191" t="str">
            <v>Нет</v>
          </cell>
        </row>
        <row r="192">
          <cell r="C192" t="str">
            <v>ФИЛИППИНЫ</v>
          </cell>
          <cell r="D192" t="str">
            <v>20-30 дней</v>
          </cell>
          <cell r="E192" t="str">
            <v>Доставка авиатранспортом</v>
          </cell>
          <cell r="F192" t="str">
            <v>Да</v>
          </cell>
          <cell r="G192" t="str">
            <v>Нет</v>
          </cell>
          <cell r="H192" t="str">
            <v>Да</v>
          </cell>
          <cell r="I192" t="str">
            <v>Да</v>
          </cell>
          <cell r="J192" t="str">
            <v>Да</v>
          </cell>
          <cell r="K192" t="str">
            <v>Да</v>
          </cell>
          <cell r="L192" t="str">
            <v>Да</v>
          </cell>
        </row>
        <row r="193">
          <cell r="C193" t="str">
            <v>ФИНЛЯНДИЯ</v>
          </cell>
          <cell r="D193" t="str">
            <v>сроки будут определены по мере разработки и запуска логистических решений</v>
          </cell>
          <cell r="E193" t="str">
            <v>Логистическое решение  по доставке в страну временно отсутствует</v>
          </cell>
          <cell r="F193" t="str">
            <v>Нет</v>
          </cell>
          <cell r="G193" t="str">
            <v>Нет</v>
          </cell>
          <cell r="H193" t="str">
            <v>Нет</v>
          </cell>
          <cell r="I193" t="str">
            <v>Нет</v>
          </cell>
          <cell r="J193" t="str">
            <v>Нет</v>
          </cell>
          <cell r="K193" t="str">
            <v>Нет</v>
          </cell>
          <cell r="L193" t="str">
            <v>Нет</v>
          </cell>
        </row>
        <row r="194">
          <cell r="C194" t="str">
            <v>ФРАНЦИЯ</v>
          </cell>
          <cell r="D194" t="str">
            <v>15-30 дней</v>
          </cell>
          <cell r="E194" t="str">
            <v>Доставка возможна наземным и авиа транспортом</v>
          </cell>
          <cell r="F194" t="str">
            <v>Да</v>
          </cell>
          <cell r="G194" t="str">
            <v>Да</v>
          </cell>
          <cell r="H194" t="str">
            <v>Да</v>
          </cell>
          <cell r="I194" t="str">
            <v>Да</v>
          </cell>
          <cell r="J194" t="str">
            <v>Нет</v>
          </cell>
          <cell r="K194" t="str">
            <v>Да</v>
          </cell>
          <cell r="L194" t="str">
            <v>Да</v>
          </cell>
        </row>
        <row r="195">
          <cell r="C195" t="str">
            <v>ХОРВАТИЯ</v>
          </cell>
          <cell r="D195" t="str">
            <v>15-30 дней</v>
          </cell>
          <cell r="E195" t="str">
            <v>Доставка возможна наземным и авиа транспортом</v>
          </cell>
          <cell r="F195" t="str">
            <v>Да</v>
          </cell>
          <cell r="G195" t="str">
            <v>Да</v>
          </cell>
          <cell r="H195" t="str">
            <v>Да</v>
          </cell>
          <cell r="I195" t="str">
            <v>Да</v>
          </cell>
          <cell r="J195" t="str">
            <v>Нет</v>
          </cell>
          <cell r="K195" t="str">
            <v>Да</v>
          </cell>
          <cell r="L195" t="str">
            <v>Да</v>
          </cell>
        </row>
        <row r="196">
          <cell r="C196" t="str">
            <v>ЦЕНТРАЛЬНО-АФРИКАНСКАЯ РЕСПУБЛИКА</v>
          </cell>
          <cell r="D196" t="str">
            <v>25-40 дней</v>
          </cell>
          <cell r="E196" t="str">
            <v>Доставка авиатранспортом</v>
          </cell>
          <cell r="F196" t="str">
            <v>Нет</v>
          </cell>
          <cell r="G196" t="str">
            <v>Нет</v>
          </cell>
          <cell r="H196" t="str">
            <v>Нет</v>
          </cell>
          <cell r="I196" t="str">
            <v>Да</v>
          </cell>
          <cell r="J196" t="str">
            <v>Нет</v>
          </cell>
          <cell r="K196" t="str">
            <v>Да</v>
          </cell>
          <cell r="L196" t="str">
            <v>Да</v>
          </cell>
        </row>
        <row r="197">
          <cell r="C197" t="str">
            <v>ЧАД</v>
          </cell>
          <cell r="D197" t="str">
            <v>сроки будут определены по мере разработки и запуска логистических решений</v>
          </cell>
          <cell r="E197" t="str">
            <v>Логистическое решение  по доставке в страну временно отсутствует</v>
          </cell>
          <cell r="F197" t="str">
            <v>Нет</v>
          </cell>
          <cell r="G197" t="str">
            <v>Нет</v>
          </cell>
          <cell r="H197" t="str">
            <v>Нет</v>
          </cell>
          <cell r="I197" t="str">
            <v>Нет</v>
          </cell>
          <cell r="J197" t="str">
            <v>Нет</v>
          </cell>
          <cell r="K197" t="str">
            <v>Нет</v>
          </cell>
          <cell r="L197" t="str">
            <v>Нет</v>
          </cell>
        </row>
        <row r="198">
          <cell r="C198" t="str">
            <v>ЧЕРНОГОРИЯ</v>
          </cell>
          <cell r="D198" t="str">
            <v>15-30 дней</v>
          </cell>
          <cell r="E198" t="str">
            <v>Доставка авиатранспортом</v>
          </cell>
          <cell r="F198" t="str">
            <v>Да</v>
          </cell>
          <cell r="G198" t="str">
            <v>Нет</v>
          </cell>
          <cell r="H198" t="str">
            <v>Да</v>
          </cell>
          <cell r="I198" t="str">
            <v>Да</v>
          </cell>
          <cell r="J198" t="str">
            <v>Да</v>
          </cell>
          <cell r="K198" t="str">
            <v>Да</v>
          </cell>
          <cell r="L198" t="str">
            <v>Да</v>
          </cell>
        </row>
        <row r="199">
          <cell r="C199" t="str">
            <v>ЧЕХИЯ</v>
          </cell>
          <cell r="D199" t="str">
            <v>15-30 дней</v>
          </cell>
          <cell r="E199" t="str">
            <v>Доставка возможна наземным и авиа транспортом</v>
          </cell>
          <cell r="F199" t="str">
            <v>Да</v>
          </cell>
          <cell r="G199" t="str">
            <v>Да</v>
          </cell>
          <cell r="H199" t="str">
            <v>Да</v>
          </cell>
          <cell r="I199" t="str">
            <v>Да</v>
          </cell>
          <cell r="J199" t="str">
            <v>Да</v>
          </cell>
          <cell r="K199" t="str">
            <v>Да</v>
          </cell>
          <cell r="L199" t="str">
            <v>Да</v>
          </cell>
        </row>
        <row r="200">
          <cell r="C200" t="str">
            <v>ЧИЛИ</v>
          </cell>
          <cell r="D200" t="str">
            <v>15-35 дней</v>
          </cell>
          <cell r="E200" t="str">
            <v>Доставка авиатранспортом</v>
          </cell>
          <cell r="F200" t="str">
            <v>Да</v>
          </cell>
          <cell r="G200" t="str">
            <v>Нет</v>
          </cell>
          <cell r="H200" t="str">
            <v>Да</v>
          </cell>
          <cell r="I200" t="str">
            <v>Да</v>
          </cell>
          <cell r="J200" t="str">
            <v>Да</v>
          </cell>
          <cell r="K200" t="str">
            <v>Да</v>
          </cell>
          <cell r="L200" t="str">
            <v>Да</v>
          </cell>
        </row>
        <row r="201">
          <cell r="C201" t="str">
            <v>ШВЕЙЦАРИЯ</v>
          </cell>
          <cell r="D201" t="str">
            <v>15-30 дней</v>
          </cell>
          <cell r="E201" t="str">
            <v>Доставка возможна наземным и авиа транспортом</v>
          </cell>
          <cell r="F201" t="str">
            <v>Да</v>
          </cell>
          <cell r="G201" t="str">
            <v>Да</v>
          </cell>
          <cell r="H201" t="str">
            <v>Да</v>
          </cell>
          <cell r="I201" t="str">
            <v>Да</v>
          </cell>
          <cell r="J201" t="str">
            <v>Да</v>
          </cell>
          <cell r="K201" t="str">
            <v>Да</v>
          </cell>
          <cell r="L201" t="str">
            <v>Да</v>
          </cell>
        </row>
        <row r="202">
          <cell r="C202" t="str">
            <v>ШВЕЦИЯ</v>
          </cell>
          <cell r="D202" t="str">
            <v>15-30 дней</v>
          </cell>
          <cell r="E202" t="str">
            <v>Доставка возможна наземным и авиа транспортом</v>
          </cell>
          <cell r="F202" t="str">
            <v>Да</v>
          </cell>
          <cell r="G202" t="str">
            <v>Да</v>
          </cell>
          <cell r="H202" t="str">
            <v>Да</v>
          </cell>
          <cell r="I202" t="str">
            <v>Да</v>
          </cell>
          <cell r="J202" t="str">
            <v>Нет</v>
          </cell>
          <cell r="K202" t="str">
            <v>Да</v>
          </cell>
          <cell r="L202" t="str">
            <v>Да</v>
          </cell>
        </row>
        <row r="203">
          <cell r="C203" t="str">
            <v>ШПИЦБЕРГЕН И ЯН МАЙЕН</v>
          </cell>
          <cell r="D203" t="str">
            <v>25-35 дней</v>
          </cell>
          <cell r="E203" t="str">
            <v>Доставка авиатранспортом</v>
          </cell>
          <cell r="F203" t="str">
            <v>Да</v>
          </cell>
          <cell r="G203" t="str">
            <v>Нет</v>
          </cell>
          <cell r="H203" t="str">
            <v>Да</v>
          </cell>
          <cell r="I203" t="str">
            <v>Да</v>
          </cell>
          <cell r="J203" t="str">
            <v>Да</v>
          </cell>
          <cell r="K203" t="str">
            <v>Да</v>
          </cell>
          <cell r="L203" t="str">
            <v>Да</v>
          </cell>
        </row>
        <row r="204">
          <cell r="C204" t="str">
            <v>ШРИ-ЛАНКА</v>
          </cell>
          <cell r="D204" t="str">
            <v>20-30 дней</v>
          </cell>
          <cell r="E204" t="str">
            <v>Доставка авиатранспортом</v>
          </cell>
          <cell r="F204" t="str">
            <v>Да</v>
          </cell>
          <cell r="G204" t="str">
            <v>Нет</v>
          </cell>
          <cell r="H204" t="str">
            <v>Да</v>
          </cell>
          <cell r="I204" t="str">
            <v>Да</v>
          </cell>
          <cell r="J204" t="str">
            <v>Да</v>
          </cell>
          <cell r="K204" t="str">
            <v>Да</v>
          </cell>
          <cell r="L204" t="str">
            <v>Да</v>
          </cell>
        </row>
        <row r="205">
          <cell r="C205" t="str">
            <v>ЭКВАДОР</v>
          </cell>
          <cell r="D205" t="str">
            <v>15-35 дней</v>
          </cell>
          <cell r="E205" t="str">
            <v>Доставка авиатранспортом</v>
          </cell>
          <cell r="F205" t="str">
            <v>Нет</v>
          </cell>
          <cell r="G205" t="str">
            <v>Нет</v>
          </cell>
          <cell r="H205" t="str">
            <v>Нет</v>
          </cell>
          <cell r="I205" t="str">
            <v>Да</v>
          </cell>
          <cell r="J205" t="str">
            <v>Нет</v>
          </cell>
          <cell r="K205" t="str">
            <v>Да</v>
          </cell>
          <cell r="L205" t="str">
            <v>Да</v>
          </cell>
        </row>
        <row r="206">
          <cell r="C206" t="str">
            <v>ЭКВАТОРИАЛЬНАЯ ГВИНЕЯ</v>
          </cell>
          <cell r="D206" t="str">
            <v>25-40 дней</v>
          </cell>
          <cell r="E206" t="str">
            <v>Доставка авиатранспортом</v>
          </cell>
          <cell r="F206" t="str">
            <v>Нет</v>
          </cell>
          <cell r="G206" t="str">
            <v>Нет</v>
          </cell>
          <cell r="H206" t="str">
            <v>Нет</v>
          </cell>
          <cell r="I206" t="str">
            <v>Да</v>
          </cell>
          <cell r="J206" t="str">
            <v>Нет</v>
          </cell>
          <cell r="K206" t="str">
            <v>Да</v>
          </cell>
          <cell r="L206" t="str">
            <v>Да</v>
          </cell>
        </row>
        <row r="207">
          <cell r="C207" t="str">
            <v>ЭРИТРЕЯ</v>
          </cell>
          <cell r="D207" t="str">
            <v>25-40 дней</v>
          </cell>
          <cell r="E207" t="str">
            <v>Доставка авиатранспортом</v>
          </cell>
          <cell r="F207" t="str">
            <v>Нет</v>
          </cell>
          <cell r="G207" t="str">
            <v>Нет</v>
          </cell>
          <cell r="H207" t="str">
            <v>Нет</v>
          </cell>
          <cell r="I207" t="str">
            <v>Да</v>
          </cell>
          <cell r="J207" t="str">
            <v>Нет</v>
          </cell>
          <cell r="K207" t="str">
            <v>Да</v>
          </cell>
          <cell r="L207" t="str">
            <v>Да</v>
          </cell>
        </row>
        <row r="208">
          <cell r="C208" t="str">
            <v>ЭСВАТИНИ</v>
          </cell>
          <cell r="D208" t="str">
            <v>сроки будут определены по мере разработки и запуска логистических решений</v>
          </cell>
          <cell r="E208" t="str">
            <v>Логистическое решение  по доставке в страну временно отсутствует</v>
          </cell>
          <cell r="F208" t="str">
            <v>Нет</v>
          </cell>
          <cell r="G208" t="str">
            <v>Нет</v>
          </cell>
          <cell r="H208" t="str">
            <v>Нет</v>
          </cell>
          <cell r="I208" t="str">
            <v>Нет</v>
          </cell>
          <cell r="J208" t="str">
            <v>Нет</v>
          </cell>
          <cell r="K208" t="str">
            <v>Нет</v>
          </cell>
          <cell r="L208" t="str">
            <v>Нет</v>
          </cell>
        </row>
        <row r="209">
          <cell r="C209" t="str">
            <v>ЭСТОНИЯ</v>
          </cell>
          <cell r="D209" t="str">
            <v>20-30 дней</v>
          </cell>
          <cell r="E209" t="str">
            <v>Доставка возможна наземным и авиа транспортом</v>
          </cell>
          <cell r="F209" t="str">
            <v>Да</v>
          </cell>
          <cell r="G209" t="str">
            <v>Да</v>
          </cell>
          <cell r="H209" t="str">
            <v>Да</v>
          </cell>
          <cell r="I209" t="str">
            <v>Нет</v>
          </cell>
          <cell r="J209" t="str">
            <v>Нет</v>
          </cell>
          <cell r="K209" t="str">
            <v>Да</v>
          </cell>
          <cell r="L209" t="str">
            <v>Да</v>
          </cell>
          <cell r="M209" t="str">
            <v>* Почта Эстонии приостановила прием EMS отправлений из РФ</v>
          </cell>
        </row>
        <row r="210">
          <cell r="C210" t="str">
            <v>ЭФИОПИЯ</v>
          </cell>
          <cell r="D210" t="str">
            <v>15-25 дней</v>
          </cell>
          <cell r="E210" t="str">
            <v>Доставка авиатранспортом</v>
          </cell>
          <cell r="F210" t="str">
            <v>Да</v>
          </cell>
          <cell r="G210" t="str">
            <v>Нет</v>
          </cell>
          <cell r="H210" t="str">
            <v>Да</v>
          </cell>
          <cell r="I210" t="str">
            <v>Да</v>
          </cell>
          <cell r="J210" t="str">
            <v>Да</v>
          </cell>
          <cell r="K210" t="str">
            <v>Да</v>
          </cell>
          <cell r="L210" t="str">
            <v>Да</v>
          </cell>
        </row>
        <row r="211">
          <cell r="C211" t="str">
            <v>ЮЖНАЯ ОСЕТИЯ</v>
          </cell>
          <cell r="D211" t="str">
            <v>15-30 дней</v>
          </cell>
          <cell r="E211" t="str">
            <v>Доставка наземным транспортом</v>
          </cell>
          <cell r="F211" t="str">
            <v>Да</v>
          </cell>
          <cell r="G211" t="str">
            <v>Да</v>
          </cell>
          <cell r="H211" t="str">
            <v>Нет</v>
          </cell>
          <cell r="I211" t="str">
            <v>Нет</v>
          </cell>
          <cell r="J211" t="str">
            <v>Да</v>
          </cell>
          <cell r="K211" t="str">
            <v>Да</v>
          </cell>
          <cell r="L211" t="str">
            <v>Да</v>
          </cell>
        </row>
        <row r="212">
          <cell r="C212" t="str">
            <v>ЮЖНО-АФРИКАНСКАЯ РЕСПУБЛИКА</v>
          </cell>
          <cell r="D212" t="str">
            <v>25-40 дней</v>
          </cell>
          <cell r="E212" t="str">
            <v>Доставка авиатранспортом</v>
          </cell>
          <cell r="F212" t="str">
            <v>Да</v>
          </cell>
          <cell r="G212" t="str">
            <v>Нет</v>
          </cell>
          <cell r="H212" t="str">
            <v>Да</v>
          </cell>
          <cell r="I212" t="str">
            <v>Да</v>
          </cell>
          <cell r="J212" t="str">
            <v>Да</v>
          </cell>
          <cell r="K212" t="str">
            <v>Да</v>
          </cell>
          <cell r="L212" t="str">
            <v>Да</v>
          </cell>
        </row>
        <row r="213">
          <cell r="C213" t="str">
            <v>ЮЖНЫЙ СУДАН</v>
          </cell>
          <cell r="D213" t="str">
            <v>сроки будут определены по мере разработки и запуска логистических решений</v>
          </cell>
          <cell r="E213" t="str">
            <v>Логистическое решение  по доставке в страну временно отсутствует</v>
          </cell>
          <cell r="F213" t="str">
            <v>Нет</v>
          </cell>
          <cell r="G213" t="str">
            <v>Нет</v>
          </cell>
          <cell r="H213" t="str">
            <v>Нет</v>
          </cell>
          <cell r="I213" t="str">
            <v>Нет</v>
          </cell>
          <cell r="J213" t="str">
            <v>Нет</v>
          </cell>
          <cell r="K213" t="str">
            <v>Нет</v>
          </cell>
          <cell r="L213" t="str">
            <v>Нет</v>
          </cell>
        </row>
        <row r="214">
          <cell r="C214" t="str">
            <v>ЯМАЙКА</v>
          </cell>
          <cell r="D214" t="str">
            <v>сроки будут определены по мере разработки и запуска логистических решений</v>
          </cell>
          <cell r="E214" t="str">
            <v>Логистическое решение  по доставке в страну временно отсутствует</v>
          </cell>
          <cell r="F214" t="str">
            <v>Нет</v>
          </cell>
          <cell r="G214" t="str">
            <v>Нет</v>
          </cell>
          <cell r="H214" t="str">
            <v>Нет</v>
          </cell>
          <cell r="I214" t="str">
            <v>Нет</v>
          </cell>
          <cell r="J214" t="str">
            <v>Нет</v>
          </cell>
          <cell r="K214" t="str">
            <v>Нет</v>
          </cell>
          <cell r="L214" t="str">
            <v>Нет</v>
          </cell>
        </row>
        <row r="215">
          <cell r="C215" t="str">
            <v>ЯПОНИЯ</v>
          </cell>
          <cell r="D215" t="str">
            <v>20-30 дней</v>
          </cell>
          <cell r="E215" t="str">
            <v>Доставка авиатранспортом</v>
          </cell>
          <cell r="F215" t="str">
            <v>Да</v>
          </cell>
          <cell r="G215" t="str">
            <v>Нет</v>
          </cell>
          <cell r="H215" t="str">
            <v>Да</v>
          </cell>
          <cell r="I215" t="str">
            <v>Да</v>
          </cell>
          <cell r="J215" t="str">
            <v>Нет</v>
          </cell>
          <cell r="K215" t="str">
            <v>Да</v>
          </cell>
          <cell r="L215" t="str">
            <v>Да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3"/>
  <sheetViews>
    <sheetView tabSelected="1"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5" sqref="C5"/>
    </sheetView>
  </sheetViews>
  <sheetFormatPr defaultRowHeight="14.5" x14ac:dyDescent="0.35"/>
  <cols>
    <col min="1" max="1" width="28.1796875" customWidth="1"/>
    <col min="2" max="2" width="5.08984375" customWidth="1"/>
    <col min="3" max="3" width="41.6328125" customWidth="1"/>
    <col min="4" max="4" width="21.6328125" style="11" customWidth="1"/>
    <col min="5" max="5" width="36.453125" style="11" customWidth="1"/>
    <col min="6" max="6" width="15.54296875" style="11" customWidth="1"/>
    <col min="7" max="7" width="23.54296875" style="11" customWidth="1"/>
    <col min="8" max="8" width="20" style="11" customWidth="1"/>
    <col min="9" max="9" width="10.54296875" style="11" customWidth="1"/>
    <col min="10" max="10" width="12.36328125" style="11" customWidth="1"/>
    <col min="11" max="12" width="15.54296875" style="11" customWidth="1"/>
    <col min="13" max="13" width="111.90625" style="11" customWidth="1"/>
  </cols>
  <sheetData>
    <row r="1" spans="1:13" x14ac:dyDescent="0.35">
      <c r="A1" s="4"/>
      <c r="B1" s="19" t="s">
        <v>216</v>
      </c>
      <c r="C1" s="19"/>
    </row>
    <row r="2" spans="1:13" x14ac:dyDescent="0.35">
      <c r="A2" s="8"/>
      <c r="B2" s="19" t="s">
        <v>215</v>
      </c>
      <c r="C2" s="19"/>
      <c r="D2" s="17"/>
    </row>
    <row r="3" spans="1:13" ht="5.25" customHeight="1" x14ac:dyDescent="0.35"/>
    <row r="4" spans="1:13" x14ac:dyDescent="0.35">
      <c r="A4" s="2" t="s">
        <v>1</v>
      </c>
      <c r="B4" s="2" t="s">
        <v>2</v>
      </c>
      <c r="C4" s="2" t="s">
        <v>3</v>
      </c>
      <c r="D4" s="12" t="s">
        <v>261</v>
      </c>
      <c r="E4" s="12" t="s">
        <v>213</v>
      </c>
      <c r="F4" s="12" t="s">
        <v>245</v>
      </c>
      <c r="G4" s="12" t="s">
        <v>249</v>
      </c>
      <c r="H4" s="12" t="s">
        <v>250</v>
      </c>
      <c r="I4" s="12" t="s">
        <v>246</v>
      </c>
      <c r="J4" s="12" t="s">
        <v>251</v>
      </c>
      <c r="K4" s="12" t="s">
        <v>264</v>
      </c>
      <c r="L4" s="12" t="s">
        <v>265</v>
      </c>
      <c r="M4" s="12" t="s">
        <v>214</v>
      </c>
    </row>
    <row r="5" spans="1:13" ht="14.4" customHeight="1" x14ac:dyDescent="0.35">
      <c r="A5" s="4" t="s">
        <v>6</v>
      </c>
      <c r="B5" s="10">
        <v>1</v>
      </c>
      <c r="C5" s="10" t="s">
        <v>206</v>
      </c>
      <c r="D5" s="10" t="s">
        <v>252</v>
      </c>
      <c r="E5" s="10" t="s">
        <v>217</v>
      </c>
      <c r="F5" s="10" t="s">
        <v>247</v>
      </c>
      <c r="G5" s="10" t="s">
        <v>247</v>
      </c>
      <c r="H5" s="10" t="s">
        <v>248</v>
      </c>
      <c r="I5" s="10" t="s">
        <v>248</v>
      </c>
      <c r="J5" s="10" t="s">
        <v>247</v>
      </c>
      <c r="K5" s="10" t="str">
        <f>VLOOKUP($C5,[1]Страны!$C$4:$M$215,9,0)</f>
        <v>Да</v>
      </c>
      <c r="L5" s="10" t="str">
        <f>VLOOKUP($C5,[1]Страны!$C$4:$M$215,10,0)</f>
        <v>Да</v>
      </c>
      <c r="M5" s="10"/>
    </row>
    <row r="6" spans="1:13" ht="14.4" customHeight="1" x14ac:dyDescent="0.35">
      <c r="A6" s="6" t="s">
        <v>4</v>
      </c>
      <c r="B6" s="10">
        <v>2</v>
      </c>
      <c r="C6" s="10" t="s">
        <v>15</v>
      </c>
      <c r="D6" s="10" t="s">
        <v>219</v>
      </c>
      <c r="E6" s="9" t="s">
        <v>220</v>
      </c>
      <c r="F6" s="9" t="s">
        <v>248</v>
      </c>
      <c r="G6" s="9" t="s">
        <v>248</v>
      </c>
      <c r="H6" s="9" t="s">
        <v>248</v>
      </c>
      <c r="I6" s="9" t="s">
        <v>248</v>
      </c>
      <c r="J6" s="9" t="s">
        <v>248</v>
      </c>
      <c r="K6" s="10" t="str">
        <f>VLOOKUP($C6,[1]Страны!$C$4:$M$215,9,0)</f>
        <v>Нет</v>
      </c>
      <c r="L6" s="10" t="str">
        <f>VLOOKUP($C6,[1]Страны!$C$4:$M$215,10,0)</f>
        <v>Нет</v>
      </c>
      <c r="M6" s="10"/>
    </row>
    <row r="7" spans="1:13" ht="14.4" customHeight="1" x14ac:dyDescent="0.35">
      <c r="A7" s="4" t="s">
        <v>209</v>
      </c>
      <c r="B7" s="10">
        <v>3</v>
      </c>
      <c r="C7" s="10" t="s">
        <v>16</v>
      </c>
      <c r="D7" s="10" t="s">
        <v>226</v>
      </c>
      <c r="E7" s="10" t="s">
        <v>242</v>
      </c>
      <c r="F7" s="10" t="s">
        <v>247</v>
      </c>
      <c r="G7" s="10" t="s">
        <v>247</v>
      </c>
      <c r="H7" s="10" t="s">
        <v>247</v>
      </c>
      <c r="I7" s="10" t="s">
        <v>247</v>
      </c>
      <c r="J7" s="10" t="s">
        <v>248</v>
      </c>
      <c r="K7" s="10" t="str">
        <f>VLOOKUP($C7,[1]Страны!$C$4:$M$215,9,0)</f>
        <v>Да</v>
      </c>
      <c r="L7" s="10" t="str">
        <f>VLOOKUP($C7,[1]Страны!$C$4:$M$215,10,0)</f>
        <v>Да</v>
      </c>
      <c r="M7" s="10"/>
    </row>
    <row r="8" spans="1:13" ht="14.4" customHeight="1" x14ac:dyDescent="0.35">
      <c r="A8" s="4" t="s">
        <v>6</v>
      </c>
      <c r="B8" s="10">
        <v>4</v>
      </c>
      <c r="C8" s="10" t="s">
        <v>13</v>
      </c>
      <c r="D8" s="10" t="s">
        <v>253</v>
      </c>
      <c r="E8" s="10" t="s">
        <v>218</v>
      </c>
      <c r="F8" s="10" t="s">
        <v>247</v>
      </c>
      <c r="G8" s="10" t="s">
        <v>248</v>
      </c>
      <c r="H8" s="10" t="s">
        <v>247</v>
      </c>
      <c r="I8" s="10" t="s">
        <v>247</v>
      </c>
      <c r="J8" s="10" t="s">
        <v>247</v>
      </c>
      <c r="K8" s="10" t="str">
        <f>VLOOKUP($C8,[1]Страны!$C$4:$M$215,9,0)</f>
        <v>Да</v>
      </c>
      <c r="L8" s="10" t="str">
        <f>VLOOKUP($C8,[1]Страны!$C$4:$M$215,10,0)</f>
        <v>Да</v>
      </c>
      <c r="M8" s="10"/>
    </row>
    <row r="9" spans="1:13" ht="14.4" customHeight="1" x14ac:dyDescent="0.35">
      <c r="A9" s="4" t="s">
        <v>209</v>
      </c>
      <c r="B9" s="10">
        <v>5</v>
      </c>
      <c r="C9" s="10" t="s">
        <v>8</v>
      </c>
      <c r="D9" s="10" t="s">
        <v>225</v>
      </c>
      <c r="E9" s="10" t="s">
        <v>218</v>
      </c>
      <c r="F9" s="10" t="s">
        <v>247</v>
      </c>
      <c r="G9" s="10" t="s">
        <v>248</v>
      </c>
      <c r="H9" s="10" t="s">
        <v>247</v>
      </c>
      <c r="I9" s="10" t="s">
        <v>247</v>
      </c>
      <c r="J9" s="10" t="s">
        <v>247</v>
      </c>
      <c r="K9" s="10" t="str">
        <f>VLOOKUP($C9,[1]Страны!$C$4:$M$215,9,0)</f>
        <v>Да</v>
      </c>
      <c r="L9" s="10" t="str">
        <f>VLOOKUP($C9,[1]Страны!$C$4:$M$215,10,0)</f>
        <v>Да</v>
      </c>
      <c r="M9" s="10"/>
    </row>
    <row r="10" spans="1:13" ht="14.4" customHeight="1" x14ac:dyDescent="0.35">
      <c r="A10" s="4" t="s">
        <v>0</v>
      </c>
      <c r="B10" s="10">
        <v>6</v>
      </c>
      <c r="C10" s="10" t="s">
        <v>9</v>
      </c>
      <c r="D10" s="10" t="s">
        <v>254</v>
      </c>
      <c r="E10" s="15" t="s">
        <v>218</v>
      </c>
      <c r="F10" s="15" t="s">
        <v>247</v>
      </c>
      <c r="G10" s="15" t="s">
        <v>248</v>
      </c>
      <c r="H10" s="15" t="s">
        <v>247</v>
      </c>
      <c r="I10" s="15" t="s">
        <v>247</v>
      </c>
      <c r="J10" s="15" t="s">
        <v>247</v>
      </c>
      <c r="K10" s="10" t="str">
        <f>VLOOKUP($C10,[1]Страны!$C$4:$M$215,9,0)</f>
        <v>Да</v>
      </c>
      <c r="L10" s="10" t="str">
        <f>VLOOKUP($C10,[1]Страны!$C$4:$M$215,10,0)</f>
        <v>Да</v>
      </c>
      <c r="M10" s="10"/>
    </row>
    <row r="11" spans="1:13" ht="14.4" customHeight="1" x14ac:dyDescent="0.35">
      <c r="A11" s="4" t="s">
        <v>0</v>
      </c>
      <c r="B11" s="10">
        <v>7</v>
      </c>
      <c r="C11" s="10" t="s">
        <v>11</v>
      </c>
      <c r="D11" s="10" t="s">
        <v>227</v>
      </c>
      <c r="E11" s="10" t="s">
        <v>218</v>
      </c>
      <c r="F11" s="10" t="s">
        <v>248</v>
      </c>
      <c r="G11" s="10" t="s">
        <v>248</v>
      </c>
      <c r="H11" s="10" t="s">
        <v>248</v>
      </c>
      <c r="I11" s="10" t="s">
        <v>247</v>
      </c>
      <c r="J11" s="10" t="s">
        <v>248</v>
      </c>
      <c r="K11" s="10" t="str">
        <f>VLOOKUP($C11,[1]Страны!$C$4:$M$215,9,0)</f>
        <v>Да</v>
      </c>
      <c r="L11" s="10" t="str">
        <f>VLOOKUP($C11,[1]Страны!$C$4:$M$215,10,0)</f>
        <v>Да</v>
      </c>
      <c r="M11" s="10"/>
    </row>
    <row r="12" spans="1:13" ht="14.4" customHeight="1" x14ac:dyDescent="0.35">
      <c r="A12" s="4" t="s">
        <v>209</v>
      </c>
      <c r="B12" s="10">
        <v>8</v>
      </c>
      <c r="C12" s="10" t="s">
        <v>10</v>
      </c>
      <c r="D12" s="18" t="s">
        <v>223</v>
      </c>
      <c r="E12" s="10" t="s">
        <v>242</v>
      </c>
      <c r="F12" s="10" t="s">
        <v>247</v>
      </c>
      <c r="G12" s="10" t="s">
        <v>247</v>
      </c>
      <c r="H12" s="10" t="s">
        <v>247</v>
      </c>
      <c r="I12" s="10" t="s">
        <v>247</v>
      </c>
      <c r="J12" s="10" t="s">
        <v>247</v>
      </c>
      <c r="K12" s="10" t="str">
        <f>VLOOKUP($C12,[1]Страны!$C$4:$M$215,9,0)</f>
        <v>Да</v>
      </c>
      <c r="L12" s="10" t="str">
        <f>VLOOKUP($C12,[1]Страны!$C$4:$M$215,10,0)</f>
        <v>Да</v>
      </c>
      <c r="M12" s="16"/>
    </row>
    <row r="13" spans="1:13" ht="14.4" customHeight="1" x14ac:dyDescent="0.35">
      <c r="A13" s="5" t="s">
        <v>5</v>
      </c>
      <c r="B13" s="10">
        <v>9</v>
      </c>
      <c r="C13" s="10" t="s">
        <v>12</v>
      </c>
      <c r="D13" s="10" t="s">
        <v>219</v>
      </c>
      <c r="E13" s="9" t="s">
        <v>220</v>
      </c>
      <c r="F13" s="9" t="s">
        <v>248</v>
      </c>
      <c r="G13" s="9" t="s">
        <v>248</v>
      </c>
      <c r="H13" s="9" t="s">
        <v>248</v>
      </c>
      <c r="I13" s="9" t="s">
        <v>248</v>
      </c>
      <c r="J13" s="9" t="s">
        <v>248</v>
      </c>
      <c r="K13" s="10" t="str">
        <f>VLOOKUP($C13,[1]Страны!$C$4:$M$215,9,0)</f>
        <v>Нет</v>
      </c>
      <c r="L13" s="10" t="str">
        <f>VLOOKUP($C13,[1]Страны!$C$4:$M$215,10,0)</f>
        <v>Нет</v>
      </c>
      <c r="M13" s="10"/>
    </row>
    <row r="14" spans="1:13" ht="14.4" customHeight="1" x14ac:dyDescent="0.35">
      <c r="A14" s="4" t="s">
        <v>5</v>
      </c>
      <c r="B14" s="10">
        <v>10</v>
      </c>
      <c r="C14" s="10" t="s">
        <v>14</v>
      </c>
      <c r="D14" s="10" t="s">
        <v>227</v>
      </c>
      <c r="E14" s="10" t="s">
        <v>218</v>
      </c>
      <c r="F14" s="10" t="s">
        <v>247</v>
      </c>
      <c r="G14" s="10" t="s">
        <v>248</v>
      </c>
      <c r="H14" s="10" t="s">
        <v>247</v>
      </c>
      <c r="I14" s="10" t="s">
        <v>247</v>
      </c>
      <c r="J14" s="10" t="s">
        <v>247</v>
      </c>
      <c r="K14" s="10" t="str">
        <f>VLOOKUP($C14,[1]Страны!$C$4:$M$215,9,0)</f>
        <v>Да</v>
      </c>
      <c r="L14" s="10" t="str">
        <f>VLOOKUP($C14,[1]Страны!$C$4:$M$215,10,0)</f>
        <v>Да</v>
      </c>
      <c r="M14" s="14"/>
    </row>
    <row r="15" spans="1:13" ht="14.4" customHeight="1" x14ac:dyDescent="0.35">
      <c r="A15" s="4" t="s">
        <v>6</v>
      </c>
      <c r="B15" s="10">
        <v>11</v>
      </c>
      <c r="C15" s="10" t="s">
        <v>20</v>
      </c>
      <c r="D15" s="10" t="s">
        <v>255</v>
      </c>
      <c r="E15" s="10" t="s">
        <v>218</v>
      </c>
      <c r="F15" s="10" t="s">
        <v>247</v>
      </c>
      <c r="G15" s="10" t="s">
        <v>247</v>
      </c>
      <c r="H15" s="10" t="s">
        <v>247</v>
      </c>
      <c r="I15" s="10" t="s">
        <v>247</v>
      </c>
      <c r="J15" s="10" t="s">
        <v>247</v>
      </c>
      <c r="K15" s="10" t="str">
        <f>VLOOKUP($C15,[1]Страны!$C$4:$M$215,9,0)</f>
        <v>Да</v>
      </c>
      <c r="L15" s="10" t="str">
        <f>VLOOKUP($C15,[1]Страны!$C$4:$M$215,10,0)</f>
        <v>Да</v>
      </c>
      <c r="M15" s="10"/>
    </row>
    <row r="16" spans="1:13" ht="14.4" customHeight="1" x14ac:dyDescent="0.35">
      <c r="A16" s="4" t="s">
        <v>210</v>
      </c>
      <c r="B16" s="10">
        <v>12</v>
      </c>
      <c r="C16" s="10" t="s">
        <v>7</v>
      </c>
      <c r="D16" s="10" t="s">
        <v>226</v>
      </c>
      <c r="E16" s="15" t="s">
        <v>218</v>
      </c>
      <c r="F16" s="15" t="s">
        <v>247</v>
      </c>
      <c r="G16" s="15" t="s">
        <v>248</v>
      </c>
      <c r="H16" s="15" t="s">
        <v>247</v>
      </c>
      <c r="I16" s="15" t="s">
        <v>247</v>
      </c>
      <c r="J16" s="15" t="s">
        <v>247</v>
      </c>
      <c r="K16" s="10" t="str">
        <f>VLOOKUP($C16,[1]Страны!$C$4:$M$215,9,0)</f>
        <v>Да</v>
      </c>
      <c r="L16" s="10" t="str">
        <f>VLOOKUP($C16,[1]Страны!$C$4:$M$215,10,0)</f>
        <v>Да</v>
      </c>
      <c r="M16" s="10"/>
    </row>
    <row r="17" spans="1:13" ht="14.4" customHeight="1" x14ac:dyDescent="0.35">
      <c r="A17" s="4" t="s">
        <v>5</v>
      </c>
      <c r="B17" s="10">
        <v>13</v>
      </c>
      <c r="C17" s="10" t="s">
        <v>17</v>
      </c>
      <c r="D17" s="10" t="s">
        <v>226</v>
      </c>
      <c r="E17" s="10" t="s">
        <v>218</v>
      </c>
      <c r="F17" s="9" t="s">
        <v>248</v>
      </c>
      <c r="G17" s="9" t="s">
        <v>248</v>
      </c>
      <c r="H17" s="9" t="s">
        <v>248</v>
      </c>
      <c r="I17" s="10" t="s">
        <v>247</v>
      </c>
      <c r="J17" s="9" t="s">
        <v>248</v>
      </c>
      <c r="K17" s="10" t="str">
        <f>VLOOKUP($C17,[1]Страны!$C$4:$M$215,9,0)</f>
        <v>Нет</v>
      </c>
      <c r="L17" s="10" t="str">
        <f>VLOOKUP($C17,[1]Страны!$C$4:$M$215,10,0)</f>
        <v>Нет</v>
      </c>
      <c r="M17" s="10"/>
    </row>
    <row r="18" spans="1:13" ht="14.4" customHeight="1" x14ac:dyDescent="0.35">
      <c r="A18" s="4" t="s">
        <v>210</v>
      </c>
      <c r="B18" s="10">
        <v>14</v>
      </c>
      <c r="C18" s="10" t="s">
        <v>19</v>
      </c>
      <c r="D18" s="10" t="s">
        <v>224</v>
      </c>
      <c r="E18" s="10" t="s">
        <v>218</v>
      </c>
      <c r="F18" s="10" t="s">
        <v>247</v>
      </c>
      <c r="G18" s="10" t="s">
        <v>248</v>
      </c>
      <c r="H18" s="10" t="s">
        <v>247</v>
      </c>
      <c r="I18" s="10" t="s">
        <v>247</v>
      </c>
      <c r="J18" s="10" t="s">
        <v>247</v>
      </c>
      <c r="K18" s="10" t="str">
        <f>VLOOKUP($C18,[1]Страны!$C$4:$M$215,9,0)</f>
        <v>Да</v>
      </c>
      <c r="L18" s="10" t="str">
        <f>VLOOKUP($C18,[1]Страны!$C$4:$M$215,10,0)</f>
        <v>Да</v>
      </c>
      <c r="M18" s="10"/>
    </row>
    <row r="19" spans="1:13" ht="14.4" customHeight="1" x14ac:dyDescent="0.35">
      <c r="A19" s="5" t="s">
        <v>5</v>
      </c>
      <c r="B19" s="10">
        <v>15</v>
      </c>
      <c r="C19" s="10" t="s">
        <v>21</v>
      </c>
      <c r="D19" s="10" t="s">
        <v>219</v>
      </c>
      <c r="E19" s="9" t="s">
        <v>220</v>
      </c>
      <c r="F19" s="9" t="s">
        <v>248</v>
      </c>
      <c r="G19" s="9" t="s">
        <v>248</v>
      </c>
      <c r="H19" s="9" t="s">
        <v>248</v>
      </c>
      <c r="I19" s="9" t="s">
        <v>248</v>
      </c>
      <c r="J19" s="9" t="s">
        <v>248</v>
      </c>
      <c r="K19" s="10" t="str">
        <f>VLOOKUP($C19,[1]Страны!$C$4:$M$215,9,0)</f>
        <v>Нет</v>
      </c>
      <c r="L19" s="10" t="str">
        <f>VLOOKUP($C19,[1]Страны!$C$4:$M$215,10,0)</f>
        <v>Нет</v>
      </c>
      <c r="M19" s="10"/>
    </row>
    <row r="20" spans="1:13" x14ac:dyDescent="0.35">
      <c r="A20" s="4" t="s">
        <v>212</v>
      </c>
      <c r="B20" s="10">
        <v>16</v>
      </c>
      <c r="C20" s="10" t="s">
        <v>18</v>
      </c>
      <c r="D20" s="10" t="s">
        <v>256</v>
      </c>
      <c r="E20" s="15" t="s">
        <v>218</v>
      </c>
      <c r="F20" s="15" t="s">
        <v>247</v>
      </c>
      <c r="G20" s="15" t="s">
        <v>248</v>
      </c>
      <c r="H20" s="15" t="s">
        <v>247</v>
      </c>
      <c r="I20" s="15" t="s">
        <v>247</v>
      </c>
      <c r="J20" s="15" t="s">
        <v>247</v>
      </c>
      <c r="K20" s="10" t="str">
        <f>VLOOKUP($C20,[1]Страны!$C$4:$M$215,9,0)</f>
        <v>Да</v>
      </c>
      <c r="L20" s="10" t="str">
        <f>VLOOKUP($C20,[1]Страны!$C$4:$M$215,10,0)</f>
        <v>Да</v>
      </c>
      <c r="M20" s="16"/>
    </row>
    <row r="21" spans="1:13" ht="14.4" customHeight="1" x14ac:dyDescent="0.35">
      <c r="A21" s="4" t="s">
        <v>6</v>
      </c>
      <c r="B21" s="10">
        <v>17</v>
      </c>
      <c r="C21" s="10" t="s">
        <v>34</v>
      </c>
      <c r="D21" s="18" t="s">
        <v>263</v>
      </c>
      <c r="E21" s="10" t="s">
        <v>242</v>
      </c>
      <c r="F21" s="10" t="s">
        <v>247</v>
      </c>
      <c r="G21" s="10" t="s">
        <v>247</v>
      </c>
      <c r="H21" s="10" t="s">
        <v>247</v>
      </c>
      <c r="I21" s="10" t="s">
        <v>247</v>
      </c>
      <c r="J21" s="10" t="s">
        <v>247</v>
      </c>
      <c r="K21" s="10" t="str">
        <f>VLOOKUP($C21,[1]Страны!$C$4:$M$215,9,0)</f>
        <v>Да</v>
      </c>
      <c r="L21" s="10" t="str">
        <f>VLOOKUP($C21,[1]Страны!$C$4:$M$215,10,0)</f>
        <v>Да</v>
      </c>
      <c r="M21" s="14"/>
    </row>
    <row r="22" spans="1:13" ht="14.4" customHeight="1" x14ac:dyDescent="0.35">
      <c r="A22" s="5" t="s">
        <v>5</v>
      </c>
      <c r="B22" s="10">
        <v>18</v>
      </c>
      <c r="C22" s="10" t="s">
        <v>28</v>
      </c>
      <c r="D22" s="10" t="s">
        <v>219</v>
      </c>
      <c r="E22" s="9" t="s">
        <v>220</v>
      </c>
      <c r="F22" s="9" t="s">
        <v>248</v>
      </c>
      <c r="G22" s="9" t="s">
        <v>248</v>
      </c>
      <c r="H22" s="9" t="s">
        <v>248</v>
      </c>
      <c r="I22" s="9" t="s">
        <v>248</v>
      </c>
      <c r="J22" s="9" t="s">
        <v>248</v>
      </c>
      <c r="K22" s="10" t="str">
        <f>VLOOKUP($C22,[1]Страны!$C$4:$M$215,9,0)</f>
        <v>Нет</v>
      </c>
      <c r="L22" s="10" t="str">
        <f>VLOOKUP($C22,[1]Страны!$C$4:$M$215,10,0)</f>
        <v>Нет</v>
      </c>
      <c r="M22" s="10"/>
    </row>
    <row r="23" spans="1:13" x14ac:dyDescent="0.35">
      <c r="A23" s="4" t="s">
        <v>209</v>
      </c>
      <c r="B23" s="10">
        <v>19</v>
      </c>
      <c r="C23" s="10" t="s">
        <v>22</v>
      </c>
      <c r="D23" s="10" t="s">
        <v>224</v>
      </c>
      <c r="E23" s="10" t="s">
        <v>242</v>
      </c>
      <c r="F23" s="10" t="s">
        <v>247</v>
      </c>
      <c r="G23" s="10" t="s">
        <v>247</v>
      </c>
      <c r="H23" s="10" t="s">
        <v>247</v>
      </c>
      <c r="I23" s="10" t="s">
        <v>247</v>
      </c>
      <c r="J23" s="10" t="s">
        <v>248</v>
      </c>
      <c r="K23" s="10" t="str">
        <f>VLOOKUP($C23,[1]Страны!$C$4:$M$215,9,0)</f>
        <v>Да</v>
      </c>
      <c r="L23" s="10" t="str">
        <f>VLOOKUP($C23,[1]Страны!$C$4:$M$215,10,0)</f>
        <v>Да</v>
      </c>
      <c r="M23" s="16"/>
    </row>
    <row r="24" spans="1:13" x14ac:dyDescent="0.35">
      <c r="A24" s="4" t="s">
        <v>5</v>
      </c>
      <c r="B24" s="10">
        <v>20</v>
      </c>
      <c r="C24" s="10" t="s">
        <v>243</v>
      </c>
      <c r="D24" s="18" t="s">
        <v>257</v>
      </c>
      <c r="E24" s="10" t="s">
        <v>218</v>
      </c>
      <c r="F24" s="10" t="s">
        <v>248</v>
      </c>
      <c r="G24" s="10" t="s">
        <v>248</v>
      </c>
      <c r="H24" s="10" t="s">
        <v>248</v>
      </c>
      <c r="I24" s="10" t="s">
        <v>247</v>
      </c>
      <c r="J24" s="10" t="s">
        <v>248</v>
      </c>
      <c r="K24" s="10" t="str">
        <f>VLOOKUP($C24,[1]Страны!$C$4:$M$215,9,0)</f>
        <v>Да</v>
      </c>
      <c r="L24" s="10" t="str">
        <f>VLOOKUP($C24,[1]Страны!$C$4:$M$215,10,0)</f>
        <v>Да</v>
      </c>
      <c r="M24" s="16"/>
    </row>
    <row r="25" spans="1:13" ht="14.4" customHeight="1" x14ac:dyDescent="0.35">
      <c r="A25" s="13" t="s">
        <v>0</v>
      </c>
      <c r="B25" s="10">
        <v>21</v>
      </c>
      <c r="C25" s="10" t="s">
        <v>54</v>
      </c>
      <c r="D25" s="10" t="s">
        <v>228</v>
      </c>
      <c r="E25" s="10" t="s">
        <v>218</v>
      </c>
      <c r="F25" s="10" t="s">
        <v>248</v>
      </c>
      <c r="G25" s="10" t="s">
        <v>248</v>
      </c>
      <c r="H25" s="10" t="s">
        <v>248</v>
      </c>
      <c r="I25" s="10" t="s">
        <v>247</v>
      </c>
      <c r="J25" s="10" t="s">
        <v>248</v>
      </c>
      <c r="K25" s="10" t="str">
        <f>VLOOKUP($C25,[1]Страны!$C$4:$M$215,9,0)</f>
        <v>Да</v>
      </c>
      <c r="L25" s="10" t="str">
        <f>VLOOKUP($C25,[1]Страны!$C$4:$M$215,10,0)</f>
        <v>Да</v>
      </c>
      <c r="M25" s="10"/>
    </row>
    <row r="26" spans="1:13" ht="14.4" customHeight="1" x14ac:dyDescent="0.35">
      <c r="A26" s="4" t="s">
        <v>209</v>
      </c>
      <c r="B26" s="10">
        <v>22</v>
      </c>
      <c r="C26" s="10" t="s">
        <v>31</v>
      </c>
      <c r="D26" s="10" t="s">
        <v>231</v>
      </c>
      <c r="E26" s="10" t="s">
        <v>242</v>
      </c>
      <c r="F26" s="10" t="s">
        <v>247</v>
      </c>
      <c r="G26" s="10" t="s">
        <v>247</v>
      </c>
      <c r="H26" s="10" t="s">
        <v>247</v>
      </c>
      <c r="I26" s="10" t="s">
        <v>247</v>
      </c>
      <c r="J26" s="10" t="s">
        <v>247</v>
      </c>
      <c r="K26" s="10" t="str">
        <f>VLOOKUP($C26,[1]Страны!$C$4:$M$215,9,0)</f>
        <v>Да</v>
      </c>
      <c r="L26" s="10" t="str">
        <f>VLOOKUP($C26,[1]Страны!$C$4:$M$215,10,0)</f>
        <v>Да</v>
      </c>
      <c r="M26" s="16"/>
    </row>
    <row r="27" spans="1:13" ht="14.4" customHeight="1" x14ac:dyDescent="0.35">
      <c r="A27" s="4" t="s">
        <v>5</v>
      </c>
      <c r="B27" s="10">
        <v>23</v>
      </c>
      <c r="C27" s="10" t="s">
        <v>24</v>
      </c>
      <c r="D27" s="10" t="s">
        <v>231</v>
      </c>
      <c r="E27" s="10" t="s">
        <v>218</v>
      </c>
      <c r="F27" s="9" t="s">
        <v>248</v>
      </c>
      <c r="G27" s="9" t="s">
        <v>248</v>
      </c>
      <c r="H27" s="9" t="s">
        <v>248</v>
      </c>
      <c r="I27" s="10" t="s">
        <v>247</v>
      </c>
      <c r="J27" s="9" t="s">
        <v>248</v>
      </c>
      <c r="K27" s="10" t="str">
        <f>VLOOKUP($C27,[1]Страны!$C$4:$M$215,9,0)</f>
        <v>Нет</v>
      </c>
      <c r="L27" s="10" t="str">
        <f>VLOOKUP($C27,[1]Страны!$C$4:$M$215,10,0)</f>
        <v>Нет</v>
      </c>
      <c r="M27" s="10"/>
    </row>
    <row r="28" spans="1:13" ht="14.4" customHeight="1" x14ac:dyDescent="0.35">
      <c r="A28" s="4" t="s">
        <v>209</v>
      </c>
      <c r="B28" s="10">
        <v>24</v>
      </c>
      <c r="C28" s="10" t="s">
        <v>25</v>
      </c>
      <c r="D28" s="10" t="s">
        <v>258</v>
      </c>
      <c r="E28" s="10" t="s">
        <v>218</v>
      </c>
      <c r="F28" s="10" t="s">
        <v>247</v>
      </c>
      <c r="G28" s="10" t="s">
        <v>248</v>
      </c>
      <c r="H28" s="10" t="s">
        <v>247</v>
      </c>
      <c r="I28" s="10" t="s">
        <v>247</v>
      </c>
      <c r="J28" s="10" t="s">
        <v>247</v>
      </c>
      <c r="K28" s="10" t="str">
        <f>VLOOKUP($C28,[1]Страны!$C$4:$M$215,9,0)</f>
        <v>Да</v>
      </c>
      <c r="L28" s="10" t="str">
        <f>VLOOKUP($C28,[1]Страны!$C$4:$M$215,10,0)</f>
        <v>Да</v>
      </c>
      <c r="M28" s="10"/>
    </row>
    <row r="29" spans="1:13" ht="14.4" customHeight="1" x14ac:dyDescent="0.35">
      <c r="A29" s="13" t="s">
        <v>0</v>
      </c>
      <c r="B29" s="10">
        <v>25</v>
      </c>
      <c r="C29" s="10" t="s">
        <v>26</v>
      </c>
      <c r="D29" s="10" t="s">
        <v>258</v>
      </c>
      <c r="E29" s="10" t="s">
        <v>218</v>
      </c>
      <c r="F29" s="10" t="s">
        <v>248</v>
      </c>
      <c r="G29" s="10" t="s">
        <v>248</v>
      </c>
      <c r="H29" s="10" t="s">
        <v>248</v>
      </c>
      <c r="I29" s="10" t="s">
        <v>247</v>
      </c>
      <c r="J29" s="10" t="s">
        <v>248</v>
      </c>
      <c r="K29" s="10" t="str">
        <f>VLOOKUP($C29,[1]Страны!$C$4:$M$215,9,0)</f>
        <v>Да</v>
      </c>
      <c r="L29" s="10" t="str">
        <f>VLOOKUP($C29,[1]Страны!$C$4:$M$215,10,0)</f>
        <v>Да</v>
      </c>
      <c r="M29" s="10"/>
    </row>
    <row r="30" spans="1:13" ht="14.4" customHeight="1" x14ac:dyDescent="0.35">
      <c r="A30" s="13" t="s">
        <v>5</v>
      </c>
      <c r="B30" s="10">
        <v>26</v>
      </c>
      <c r="C30" s="10" t="s">
        <v>27</v>
      </c>
      <c r="D30" s="18" t="s">
        <v>262</v>
      </c>
      <c r="E30" s="10" t="s">
        <v>218</v>
      </c>
      <c r="F30" s="9" t="s">
        <v>247</v>
      </c>
      <c r="G30" s="9" t="s">
        <v>248</v>
      </c>
      <c r="H30" s="9" t="s">
        <v>247</v>
      </c>
      <c r="I30" s="9" t="s">
        <v>247</v>
      </c>
      <c r="J30" s="9" t="s">
        <v>247</v>
      </c>
      <c r="K30" s="10" t="str">
        <f>VLOOKUP($C30,[1]Страны!$C$4:$M$215,9,0)</f>
        <v>Да</v>
      </c>
      <c r="L30" s="10" t="str">
        <f>VLOOKUP($C30,[1]Страны!$C$4:$M$215,10,0)</f>
        <v>Да</v>
      </c>
      <c r="M30" s="10"/>
    </row>
    <row r="31" spans="1:13" ht="14.4" customHeight="1" x14ac:dyDescent="0.35">
      <c r="A31" s="4" t="s">
        <v>210</v>
      </c>
      <c r="B31" s="10">
        <v>27</v>
      </c>
      <c r="C31" s="10" t="s">
        <v>30</v>
      </c>
      <c r="D31" s="10" t="s">
        <v>225</v>
      </c>
      <c r="E31" s="15" t="s">
        <v>218</v>
      </c>
      <c r="F31" s="10" t="s">
        <v>248</v>
      </c>
      <c r="G31" s="10" t="s">
        <v>248</v>
      </c>
      <c r="H31" s="10" t="s">
        <v>248</v>
      </c>
      <c r="I31" s="9" t="s">
        <v>247</v>
      </c>
      <c r="J31" s="10" t="s">
        <v>248</v>
      </c>
      <c r="K31" s="10" t="str">
        <f>VLOOKUP($C31,[1]Страны!$C$4:$M$215,9,0)</f>
        <v>Нет</v>
      </c>
      <c r="L31" s="10" t="str">
        <f>VLOOKUP($C31,[1]Страны!$C$4:$M$215,10,0)</f>
        <v>Нет</v>
      </c>
      <c r="M31" s="10"/>
    </row>
    <row r="32" spans="1:13" ht="14.4" customHeight="1" x14ac:dyDescent="0.35">
      <c r="A32" s="13" t="s">
        <v>0</v>
      </c>
      <c r="B32" s="10">
        <v>28</v>
      </c>
      <c r="C32" s="10" t="s">
        <v>199</v>
      </c>
      <c r="D32" s="10" t="s">
        <v>225</v>
      </c>
      <c r="E32" s="10" t="s">
        <v>218</v>
      </c>
      <c r="F32" s="10" t="s">
        <v>248</v>
      </c>
      <c r="G32" s="10" t="s">
        <v>248</v>
      </c>
      <c r="H32" s="10" t="s">
        <v>248</v>
      </c>
      <c r="I32" s="10" t="s">
        <v>247</v>
      </c>
      <c r="J32" s="10" t="s">
        <v>248</v>
      </c>
      <c r="K32" s="10" t="str">
        <f>VLOOKUP($C32,[1]Страны!$C$4:$M$215,9,0)</f>
        <v>Да</v>
      </c>
      <c r="L32" s="10" t="str">
        <f>VLOOKUP($C32,[1]Страны!$C$4:$M$215,10,0)</f>
        <v>Да</v>
      </c>
      <c r="M32" s="10"/>
    </row>
    <row r="33" spans="1:13" ht="14.4" customHeight="1" x14ac:dyDescent="0.35">
      <c r="A33" s="13" t="s">
        <v>0</v>
      </c>
      <c r="B33" s="10">
        <v>29</v>
      </c>
      <c r="C33" s="10" t="s">
        <v>33</v>
      </c>
      <c r="D33" s="10" t="s">
        <v>228</v>
      </c>
      <c r="E33" s="10" t="s">
        <v>218</v>
      </c>
      <c r="F33" s="9" t="s">
        <v>248</v>
      </c>
      <c r="G33" s="9" t="s">
        <v>248</v>
      </c>
      <c r="H33" s="9" t="s">
        <v>248</v>
      </c>
      <c r="I33" s="9" t="s">
        <v>247</v>
      </c>
      <c r="J33" s="9" t="s">
        <v>248</v>
      </c>
      <c r="K33" s="10" t="str">
        <f>VLOOKUP($C33,[1]Страны!$C$4:$M$215,9,0)</f>
        <v>Да</v>
      </c>
      <c r="L33" s="10" t="str">
        <f>VLOOKUP($C33,[1]Страны!$C$4:$M$215,10,0)</f>
        <v>Да</v>
      </c>
      <c r="M33" s="10"/>
    </row>
    <row r="34" spans="1:13" ht="14.4" customHeight="1" x14ac:dyDescent="0.35">
      <c r="A34" s="6" t="s">
        <v>210</v>
      </c>
      <c r="B34" s="10">
        <v>30</v>
      </c>
      <c r="C34" s="10" t="s">
        <v>23</v>
      </c>
      <c r="D34" s="10" t="s">
        <v>219</v>
      </c>
      <c r="E34" s="9" t="s">
        <v>220</v>
      </c>
      <c r="F34" s="9" t="s">
        <v>248</v>
      </c>
      <c r="G34" s="9" t="s">
        <v>248</v>
      </c>
      <c r="H34" s="9" t="s">
        <v>248</v>
      </c>
      <c r="I34" s="9" t="s">
        <v>248</v>
      </c>
      <c r="J34" s="9" t="s">
        <v>248</v>
      </c>
      <c r="K34" s="10" t="str">
        <f>VLOOKUP($C34,[1]Страны!$C$4:$M$215,9,0)</f>
        <v>Нет</v>
      </c>
      <c r="L34" s="10" t="str">
        <f>VLOOKUP($C34,[1]Страны!$C$4:$M$215,10,0)</f>
        <v>Нет</v>
      </c>
      <c r="M34" s="10"/>
    </row>
    <row r="35" spans="1:13" ht="14.4" customHeight="1" x14ac:dyDescent="0.35">
      <c r="A35" s="6" t="s">
        <v>4</v>
      </c>
      <c r="B35" s="10">
        <v>31</v>
      </c>
      <c r="C35" s="10" t="s">
        <v>135</v>
      </c>
      <c r="D35" s="10" t="s">
        <v>219</v>
      </c>
      <c r="E35" s="9" t="s">
        <v>220</v>
      </c>
      <c r="F35" s="10" t="s">
        <v>248</v>
      </c>
      <c r="G35" s="10" t="s">
        <v>248</v>
      </c>
      <c r="H35" s="10" t="s">
        <v>248</v>
      </c>
      <c r="I35" s="10" t="s">
        <v>248</v>
      </c>
      <c r="J35" s="10" t="s">
        <v>248</v>
      </c>
      <c r="K35" s="10" t="str">
        <f>VLOOKUP($C35,[1]Страны!$C$4:$M$215,9,0)</f>
        <v>Нет</v>
      </c>
      <c r="L35" s="10" t="str">
        <f>VLOOKUP($C35,[1]Страны!$C$4:$M$215,10,0)</f>
        <v>Нет</v>
      </c>
      <c r="M35" s="10"/>
    </row>
    <row r="36" spans="1:13" ht="14.4" customHeight="1" x14ac:dyDescent="0.35">
      <c r="A36" s="4" t="s">
        <v>209</v>
      </c>
      <c r="B36" s="10">
        <v>32</v>
      </c>
      <c r="C36" s="10" t="s">
        <v>234</v>
      </c>
      <c r="D36" s="10" t="s">
        <v>223</v>
      </c>
      <c r="E36" s="10" t="s">
        <v>242</v>
      </c>
      <c r="F36" s="10" t="s">
        <v>247</v>
      </c>
      <c r="G36" s="10" t="s">
        <v>248</v>
      </c>
      <c r="H36" s="10" t="s">
        <v>247</v>
      </c>
      <c r="I36" s="10" t="s">
        <v>247</v>
      </c>
      <c r="J36" s="10" t="s">
        <v>247</v>
      </c>
      <c r="K36" s="10" t="str">
        <f>VLOOKUP($C36,[1]Страны!$C$4:$M$215,9,0)</f>
        <v>Да</v>
      </c>
      <c r="L36" s="10" t="str">
        <f>VLOOKUP($C36,[1]Страны!$C$4:$M$215,10,0)</f>
        <v>Да</v>
      </c>
      <c r="M36" s="16"/>
    </row>
    <row r="37" spans="1:13" ht="14.4" customHeight="1" x14ac:dyDescent="0.35">
      <c r="A37" s="4" t="s">
        <v>209</v>
      </c>
      <c r="B37" s="10">
        <v>33</v>
      </c>
      <c r="C37" s="10" t="s">
        <v>235</v>
      </c>
      <c r="D37" s="10" t="s">
        <v>258</v>
      </c>
      <c r="E37" s="10" t="s">
        <v>242</v>
      </c>
      <c r="F37" s="10" t="s">
        <v>247</v>
      </c>
      <c r="G37" s="10" t="s">
        <v>247</v>
      </c>
      <c r="H37" s="10" t="s">
        <v>247</v>
      </c>
      <c r="I37" s="10" t="s">
        <v>247</v>
      </c>
      <c r="J37" s="10" t="s">
        <v>247</v>
      </c>
      <c r="K37" s="10" t="str">
        <f>VLOOKUP($C37,[1]Страны!$C$4:$M$215,9,0)</f>
        <v>Да</v>
      </c>
      <c r="L37" s="10" t="str">
        <f>VLOOKUP($C37,[1]Страны!$C$4:$M$215,10,0)</f>
        <v>Да</v>
      </c>
      <c r="M37" s="10"/>
    </row>
    <row r="38" spans="1:13" ht="14.4" customHeight="1" x14ac:dyDescent="0.35">
      <c r="A38" s="4" t="s">
        <v>209</v>
      </c>
      <c r="B38" s="10">
        <v>34</v>
      </c>
      <c r="C38" s="10" t="s">
        <v>86</v>
      </c>
      <c r="D38" s="10" t="s">
        <v>225</v>
      </c>
      <c r="E38" s="10" t="s">
        <v>242</v>
      </c>
      <c r="F38" s="10" t="s">
        <v>247</v>
      </c>
      <c r="G38" s="10" t="s">
        <v>247</v>
      </c>
      <c r="H38" s="10" t="s">
        <v>247</v>
      </c>
      <c r="I38" s="10" t="s">
        <v>247</v>
      </c>
      <c r="J38" s="10" t="s">
        <v>248</v>
      </c>
      <c r="K38" s="10" t="str">
        <f>VLOOKUP($C38,[1]Страны!$C$4:$M$215,9,0)</f>
        <v>Да</v>
      </c>
      <c r="L38" s="10" t="str">
        <f>VLOOKUP($C38,[1]Страны!$C$4:$M$215,10,0)</f>
        <v>Да</v>
      </c>
      <c r="M38" s="10"/>
    </row>
    <row r="39" spans="1:13" ht="14.4" customHeight="1" x14ac:dyDescent="0.35">
      <c r="A39" s="13" t="s">
        <v>5</v>
      </c>
      <c r="B39" s="10">
        <v>35</v>
      </c>
      <c r="C39" s="15" t="s">
        <v>202</v>
      </c>
      <c r="D39" s="18" t="s">
        <v>228</v>
      </c>
      <c r="E39" s="10" t="s">
        <v>218</v>
      </c>
      <c r="F39" s="10" t="s">
        <v>247</v>
      </c>
      <c r="G39" s="10" t="s">
        <v>248</v>
      </c>
      <c r="H39" s="10" t="s">
        <v>247</v>
      </c>
      <c r="I39" s="10" t="s">
        <v>247</v>
      </c>
      <c r="J39" s="10" t="s">
        <v>247</v>
      </c>
      <c r="K39" s="10" t="str">
        <f>VLOOKUP($C39,[1]Страны!$C$4:$M$215,9,0)</f>
        <v>Да</v>
      </c>
      <c r="L39" s="10" t="str">
        <f>VLOOKUP($C39,[1]Страны!$C$4:$M$215,10,0)</f>
        <v>Да</v>
      </c>
      <c r="M39" s="15"/>
    </row>
    <row r="40" spans="1:13" ht="14.4" customHeight="1" x14ac:dyDescent="0.35">
      <c r="A40" s="4" t="s">
        <v>210</v>
      </c>
      <c r="B40" s="10">
        <v>36</v>
      </c>
      <c r="C40" s="10" t="s">
        <v>171</v>
      </c>
      <c r="D40" s="10" t="s">
        <v>259</v>
      </c>
      <c r="E40" s="10" t="s">
        <v>218</v>
      </c>
      <c r="F40" s="9" t="s">
        <v>247</v>
      </c>
      <c r="G40" s="9" t="s">
        <v>248</v>
      </c>
      <c r="H40" s="9" t="s">
        <v>247</v>
      </c>
      <c r="I40" s="9" t="s">
        <v>247</v>
      </c>
      <c r="J40" s="9" t="s">
        <v>248</v>
      </c>
      <c r="K40" s="10" t="str">
        <f>VLOOKUP($C40,[1]Страны!$C$4:$M$215,9,0)</f>
        <v>Да</v>
      </c>
      <c r="L40" s="10" t="str">
        <f>VLOOKUP($C40,[1]Страны!$C$4:$M$215,10,0)</f>
        <v>Да</v>
      </c>
      <c r="M40" s="14"/>
    </row>
    <row r="41" spans="1:13" ht="14.4" customHeight="1" x14ac:dyDescent="0.35">
      <c r="A41" s="13" t="s">
        <v>0</v>
      </c>
      <c r="B41" s="10">
        <v>37</v>
      </c>
      <c r="C41" s="10" t="s">
        <v>67</v>
      </c>
      <c r="D41" s="10" t="s">
        <v>224</v>
      </c>
      <c r="E41" s="10" t="s">
        <v>218</v>
      </c>
      <c r="F41" s="9" t="s">
        <v>248</v>
      </c>
      <c r="G41" s="9" t="s">
        <v>248</v>
      </c>
      <c r="H41" s="9" t="s">
        <v>248</v>
      </c>
      <c r="I41" s="9" t="s">
        <v>247</v>
      </c>
      <c r="J41" s="9" t="s">
        <v>248</v>
      </c>
      <c r="K41" s="10" t="str">
        <f>VLOOKUP($C41,[1]Страны!$C$4:$M$215,9,0)</f>
        <v>Да</v>
      </c>
      <c r="L41" s="10" t="str">
        <f>VLOOKUP($C41,[1]Страны!$C$4:$M$215,10,0)</f>
        <v>Да</v>
      </c>
      <c r="M41" s="10"/>
    </row>
    <row r="42" spans="1:13" ht="14.4" customHeight="1" x14ac:dyDescent="0.35">
      <c r="A42" s="5" t="s">
        <v>5</v>
      </c>
      <c r="B42" s="10">
        <v>38</v>
      </c>
      <c r="C42" s="10" t="s">
        <v>83</v>
      </c>
      <c r="D42" s="10" t="s">
        <v>219</v>
      </c>
      <c r="E42" s="9" t="s">
        <v>220</v>
      </c>
      <c r="F42" s="10" t="s">
        <v>248</v>
      </c>
      <c r="G42" s="10" t="s">
        <v>248</v>
      </c>
      <c r="H42" s="10" t="s">
        <v>248</v>
      </c>
      <c r="I42" s="10" t="s">
        <v>248</v>
      </c>
      <c r="J42" s="10" t="s">
        <v>248</v>
      </c>
      <c r="K42" s="10" t="str">
        <f>VLOOKUP($C42,[1]Страны!$C$4:$M$215,9,0)</f>
        <v>Нет</v>
      </c>
      <c r="L42" s="10" t="str">
        <f>VLOOKUP($C42,[1]Страны!$C$4:$M$215,10,0)</f>
        <v>Нет</v>
      </c>
      <c r="M42" s="10"/>
    </row>
    <row r="43" spans="1:13" ht="14.4" customHeight="1" x14ac:dyDescent="0.35">
      <c r="A43" s="5" t="s">
        <v>5</v>
      </c>
      <c r="B43" s="10">
        <v>39</v>
      </c>
      <c r="C43" s="10" t="s">
        <v>82</v>
      </c>
      <c r="D43" s="10" t="s">
        <v>219</v>
      </c>
      <c r="E43" s="9" t="s">
        <v>220</v>
      </c>
      <c r="F43" s="10" t="s">
        <v>248</v>
      </c>
      <c r="G43" s="10" t="s">
        <v>248</v>
      </c>
      <c r="H43" s="10" t="s">
        <v>248</v>
      </c>
      <c r="I43" s="10" t="s">
        <v>248</v>
      </c>
      <c r="J43" s="10" t="s">
        <v>248</v>
      </c>
      <c r="K43" s="10" t="str">
        <f>VLOOKUP($C43,[1]Страны!$C$4:$M$215,9,0)</f>
        <v>Нет</v>
      </c>
      <c r="L43" s="10" t="str">
        <f>VLOOKUP($C43,[1]Страны!$C$4:$M$215,10,0)</f>
        <v>Нет</v>
      </c>
      <c r="M43" s="10"/>
    </row>
    <row r="44" spans="1:13" ht="14.4" customHeight="1" x14ac:dyDescent="0.35">
      <c r="A44" s="13" t="s">
        <v>0</v>
      </c>
      <c r="B44" s="10">
        <v>40</v>
      </c>
      <c r="C44" s="10" t="s">
        <v>69</v>
      </c>
      <c r="D44" s="10" t="s">
        <v>228</v>
      </c>
      <c r="E44" s="10" t="s">
        <v>218</v>
      </c>
      <c r="F44" s="9" t="s">
        <v>247</v>
      </c>
      <c r="G44" s="9" t="s">
        <v>248</v>
      </c>
      <c r="H44" s="9" t="s">
        <v>247</v>
      </c>
      <c r="I44" s="9" t="s">
        <v>247</v>
      </c>
      <c r="J44" s="9" t="s">
        <v>247</v>
      </c>
      <c r="K44" s="10" t="str">
        <f>VLOOKUP($C44,[1]Страны!$C$4:$M$215,9,0)</f>
        <v>Да</v>
      </c>
      <c r="L44" s="10" t="str">
        <f>VLOOKUP($C44,[1]Страны!$C$4:$M$215,10,0)</f>
        <v>Да</v>
      </c>
      <c r="M44" s="10"/>
    </row>
    <row r="45" spans="1:13" ht="15.65" customHeight="1" x14ac:dyDescent="0.35">
      <c r="A45" s="4" t="s">
        <v>0</v>
      </c>
      <c r="B45" s="10">
        <v>41</v>
      </c>
      <c r="C45" s="10" t="s">
        <v>72</v>
      </c>
      <c r="D45" s="10" t="s">
        <v>228</v>
      </c>
      <c r="E45" s="10" t="s">
        <v>218</v>
      </c>
      <c r="F45" s="9" t="s">
        <v>248</v>
      </c>
      <c r="G45" s="9" t="s">
        <v>248</v>
      </c>
      <c r="H45" s="9" t="s">
        <v>248</v>
      </c>
      <c r="I45" s="9" t="s">
        <v>247</v>
      </c>
      <c r="J45" s="9" t="s">
        <v>248</v>
      </c>
      <c r="K45" s="10" t="str">
        <f>VLOOKUP($C45,[1]Страны!$C$4:$M$215,9,0)</f>
        <v>Да</v>
      </c>
      <c r="L45" s="10" t="str">
        <f>VLOOKUP($C45,[1]Страны!$C$4:$M$215,10,0)</f>
        <v>Да</v>
      </c>
      <c r="M45" s="10"/>
    </row>
    <row r="46" spans="1:13" ht="14.4" customHeight="1" x14ac:dyDescent="0.35">
      <c r="A46" s="5" t="s">
        <v>5</v>
      </c>
      <c r="B46" s="10">
        <v>42</v>
      </c>
      <c r="C46" s="10" t="s">
        <v>78</v>
      </c>
      <c r="D46" s="10" t="s">
        <v>219</v>
      </c>
      <c r="E46" s="9" t="s">
        <v>220</v>
      </c>
      <c r="F46" s="10" t="s">
        <v>248</v>
      </c>
      <c r="G46" s="10" t="s">
        <v>248</v>
      </c>
      <c r="H46" s="10" t="s">
        <v>248</v>
      </c>
      <c r="I46" s="10" t="s">
        <v>248</v>
      </c>
      <c r="J46" s="10" t="s">
        <v>248</v>
      </c>
      <c r="K46" s="10" t="str">
        <f>VLOOKUP($C46,[1]Страны!$C$4:$M$215,9,0)</f>
        <v>Нет</v>
      </c>
      <c r="L46" s="10" t="str">
        <f>VLOOKUP($C46,[1]Страны!$C$4:$M$215,10,0)</f>
        <v>Нет</v>
      </c>
      <c r="M46" s="10"/>
    </row>
    <row r="47" spans="1:13" ht="14.4" customHeight="1" x14ac:dyDescent="0.35">
      <c r="A47" s="7" t="s">
        <v>5</v>
      </c>
      <c r="B47" s="10">
        <v>43</v>
      </c>
      <c r="C47" s="10" t="s">
        <v>80</v>
      </c>
      <c r="D47" s="10" t="s">
        <v>219</v>
      </c>
      <c r="E47" s="9" t="s">
        <v>220</v>
      </c>
      <c r="F47" s="9" t="s">
        <v>248</v>
      </c>
      <c r="G47" s="9" t="s">
        <v>248</v>
      </c>
      <c r="H47" s="9" t="s">
        <v>248</v>
      </c>
      <c r="I47" s="9" t="s">
        <v>248</v>
      </c>
      <c r="J47" s="9" t="s">
        <v>248</v>
      </c>
      <c r="K47" s="10" t="str">
        <f>VLOOKUP($C47,[1]Страны!$C$4:$M$215,9,0)</f>
        <v>Нет</v>
      </c>
      <c r="L47" s="10" t="str">
        <f>VLOOKUP($C47,[1]Страны!$C$4:$M$215,10,0)</f>
        <v>Нет</v>
      </c>
      <c r="M47" s="10"/>
    </row>
    <row r="48" spans="1:13" ht="14.4" customHeight="1" x14ac:dyDescent="0.35">
      <c r="A48" s="13" t="s">
        <v>0</v>
      </c>
      <c r="B48" s="10">
        <v>44</v>
      </c>
      <c r="C48" s="10" t="s">
        <v>81</v>
      </c>
      <c r="D48" s="10" t="s">
        <v>225</v>
      </c>
      <c r="E48" s="10" t="s">
        <v>218</v>
      </c>
      <c r="F48" s="10" t="s">
        <v>248</v>
      </c>
      <c r="G48" s="10" t="s">
        <v>248</v>
      </c>
      <c r="H48" s="10" t="s">
        <v>248</v>
      </c>
      <c r="I48" s="10" t="s">
        <v>247</v>
      </c>
      <c r="J48" s="10" t="s">
        <v>248</v>
      </c>
      <c r="K48" s="10" t="str">
        <f>VLOOKUP($C48,[1]Страны!$C$4:$M$215,9,0)</f>
        <v>Да</v>
      </c>
      <c r="L48" s="10" t="str">
        <f>VLOOKUP($C48,[1]Страны!$C$4:$M$215,10,0)</f>
        <v>Да</v>
      </c>
      <c r="M48" s="10"/>
    </row>
    <row r="49" spans="1:13" ht="14.4" customHeight="1" x14ac:dyDescent="0.35">
      <c r="A49" s="5" t="s">
        <v>0</v>
      </c>
      <c r="B49" s="10">
        <v>45</v>
      </c>
      <c r="C49" s="10" t="s">
        <v>153</v>
      </c>
      <c r="D49" s="10" t="s">
        <v>219</v>
      </c>
      <c r="E49" s="9" t="s">
        <v>220</v>
      </c>
      <c r="F49" s="10" t="s">
        <v>248</v>
      </c>
      <c r="G49" s="10" t="s">
        <v>248</v>
      </c>
      <c r="H49" s="10" t="s">
        <v>248</v>
      </c>
      <c r="I49" s="10" t="s">
        <v>248</v>
      </c>
      <c r="J49" s="10" t="s">
        <v>248</v>
      </c>
      <c r="K49" s="10" t="str">
        <f>VLOOKUP($C49,[1]Страны!$C$4:$M$215,9,0)</f>
        <v>Нет</v>
      </c>
      <c r="L49" s="10" t="str">
        <f>VLOOKUP($C49,[1]Страны!$C$4:$M$215,10,0)</f>
        <v>Нет</v>
      </c>
      <c r="M49" s="10"/>
    </row>
    <row r="50" spans="1:13" ht="14.4" customHeight="1" x14ac:dyDescent="0.35">
      <c r="A50" s="4" t="s">
        <v>209</v>
      </c>
      <c r="B50" s="10">
        <v>46</v>
      </c>
      <c r="C50" s="10" t="s">
        <v>71</v>
      </c>
      <c r="D50" s="10" t="s">
        <v>226</v>
      </c>
      <c r="E50" s="10" t="s">
        <v>242</v>
      </c>
      <c r="F50" s="9" t="s">
        <v>247</v>
      </c>
      <c r="G50" s="9" t="s">
        <v>247</v>
      </c>
      <c r="H50" s="9" t="s">
        <v>247</v>
      </c>
      <c r="I50" s="9" t="s">
        <v>247</v>
      </c>
      <c r="J50" s="9" t="s">
        <v>248</v>
      </c>
      <c r="K50" s="10" t="str">
        <f>VLOOKUP($C50,[1]Страны!$C$4:$M$215,9,0)</f>
        <v>Да</v>
      </c>
      <c r="L50" s="10" t="str">
        <f>VLOOKUP($C50,[1]Страны!$C$4:$M$215,10,0)</f>
        <v>Да</v>
      </c>
      <c r="M50" s="10"/>
    </row>
    <row r="51" spans="1:13" ht="14.4" customHeight="1" x14ac:dyDescent="0.35">
      <c r="A51" s="4" t="s">
        <v>209</v>
      </c>
      <c r="B51" s="10">
        <v>47</v>
      </c>
      <c r="C51" s="10" t="s">
        <v>73</v>
      </c>
      <c r="D51" s="10" t="s">
        <v>223</v>
      </c>
      <c r="E51" s="10" t="s">
        <v>242</v>
      </c>
      <c r="F51" s="10" t="s">
        <v>247</v>
      </c>
      <c r="G51" s="10" t="s">
        <v>247</v>
      </c>
      <c r="H51" s="10" t="s">
        <v>247</v>
      </c>
      <c r="I51" s="10" t="s">
        <v>247</v>
      </c>
      <c r="J51" s="10" t="s">
        <v>248</v>
      </c>
      <c r="K51" s="10" t="str">
        <f>VLOOKUP($C51,[1]Страны!$C$4:$M$215,9,0)</f>
        <v>Да</v>
      </c>
      <c r="L51" s="10" t="str">
        <f>VLOOKUP($C51,[1]Страны!$C$4:$M$215,10,0)</f>
        <v>Да</v>
      </c>
      <c r="M51" s="16"/>
    </row>
    <row r="52" spans="1:13" ht="14.4" customHeight="1" x14ac:dyDescent="0.35">
      <c r="A52" s="5" t="s">
        <v>5</v>
      </c>
      <c r="B52" s="10">
        <v>48</v>
      </c>
      <c r="C52" s="10" t="s">
        <v>84</v>
      </c>
      <c r="D52" s="10" t="s">
        <v>219</v>
      </c>
      <c r="E52" s="9" t="s">
        <v>220</v>
      </c>
      <c r="F52" s="9" t="s">
        <v>248</v>
      </c>
      <c r="G52" s="9" t="s">
        <v>248</v>
      </c>
      <c r="H52" s="9" t="s">
        <v>248</v>
      </c>
      <c r="I52" s="9" t="s">
        <v>248</v>
      </c>
      <c r="J52" s="9" t="s">
        <v>248</v>
      </c>
      <c r="K52" s="10" t="str">
        <f>VLOOKUP($C52,[1]Страны!$C$4:$M$215,9,0)</f>
        <v>Нет</v>
      </c>
      <c r="L52" s="10" t="str">
        <f>VLOOKUP($C52,[1]Страны!$C$4:$M$215,10,0)</f>
        <v>Нет</v>
      </c>
      <c r="M52" s="10"/>
    </row>
    <row r="53" spans="1:13" ht="14.4" customHeight="1" x14ac:dyDescent="0.35">
      <c r="A53" s="4" t="s">
        <v>210</v>
      </c>
      <c r="B53" s="10">
        <v>49</v>
      </c>
      <c r="C53" s="10" t="s">
        <v>85</v>
      </c>
      <c r="D53" s="10" t="s">
        <v>225</v>
      </c>
      <c r="E53" s="10" t="s">
        <v>218</v>
      </c>
      <c r="F53" s="10" t="s">
        <v>247</v>
      </c>
      <c r="G53" s="10" t="s">
        <v>248</v>
      </c>
      <c r="H53" s="10" t="s">
        <v>247</v>
      </c>
      <c r="I53" s="10" t="s">
        <v>247</v>
      </c>
      <c r="J53" s="10" t="s">
        <v>247</v>
      </c>
      <c r="K53" s="10" t="str">
        <f>VLOOKUP($C53,[1]Страны!$C$4:$M$215,9,0)</f>
        <v>Да</v>
      </c>
      <c r="L53" s="10" t="str">
        <f>VLOOKUP($C53,[1]Страны!$C$4:$M$215,10,0)</f>
        <v>Да</v>
      </c>
      <c r="M53" s="10"/>
    </row>
    <row r="54" spans="1:13" ht="14.4" customHeight="1" x14ac:dyDescent="0.35">
      <c r="A54" s="5" t="s">
        <v>5</v>
      </c>
      <c r="B54" s="10">
        <v>50</v>
      </c>
      <c r="C54" s="10" t="s">
        <v>77</v>
      </c>
      <c r="D54" s="10" t="s">
        <v>219</v>
      </c>
      <c r="E54" s="9" t="s">
        <v>220</v>
      </c>
      <c r="F54" s="10" t="s">
        <v>248</v>
      </c>
      <c r="G54" s="10" t="s">
        <v>248</v>
      </c>
      <c r="H54" s="10" t="s">
        <v>248</v>
      </c>
      <c r="I54" s="10" t="s">
        <v>248</v>
      </c>
      <c r="J54" s="10" t="s">
        <v>248</v>
      </c>
      <c r="K54" s="10" t="str">
        <f>VLOOKUP($C54,[1]Страны!$C$4:$M$215,9,0)</f>
        <v>Нет</v>
      </c>
      <c r="L54" s="10" t="str">
        <f>VLOOKUP($C54,[1]Страны!$C$4:$M$215,10,0)</f>
        <v>Нет</v>
      </c>
      <c r="M54" s="10"/>
    </row>
    <row r="55" spans="1:13" ht="14.4" customHeight="1" x14ac:dyDescent="0.35">
      <c r="A55" s="4" t="s">
        <v>209</v>
      </c>
      <c r="B55" s="10">
        <v>51</v>
      </c>
      <c r="C55" s="10" t="s">
        <v>76</v>
      </c>
      <c r="D55" s="10" t="s">
        <v>223</v>
      </c>
      <c r="E55" s="10" t="s">
        <v>218</v>
      </c>
      <c r="F55" s="10" t="s">
        <v>247</v>
      </c>
      <c r="G55" s="10" t="s">
        <v>248</v>
      </c>
      <c r="H55" s="10" t="s">
        <v>247</v>
      </c>
      <c r="I55" s="10" t="s">
        <v>247</v>
      </c>
      <c r="J55" s="10" t="s">
        <v>247</v>
      </c>
      <c r="K55" s="10" t="str">
        <f>VLOOKUP($C55,[1]Страны!$C$4:$M$215,9,0)</f>
        <v>Да</v>
      </c>
      <c r="L55" s="10" t="str">
        <f>VLOOKUP($C55,[1]Страны!$C$4:$M$215,10,0)</f>
        <v>Да</v>
      </c>
      <c r="M55" s="16"/>
    </row>
    <row r="56" spans="1:13" ht="14.4" customHeight="1" x14ac:dyDescent="0.35">
      <c r="A56" s="4" t="s">
        <v>209</v>
      </c>
      <c r="B56" s="10">
        <v>52</v>
      </c>
      <c r="C56" s="10" t="s">
        <v>75</v>
      </c>
      <c r="D56" s="10" t="s">
        <v>224</v>
      </c>
      <c r="E56" s="10" t="s">
        <v>242</v>
      </c>
      <c r="F56" s="9" t="s">
        <v>247</v>
      </c>
      <c r="G56" s="9" t="s">
        <v>247</v>
      </c>
      <c r="H56" s="9" t="s">
        <v>247</v>
      </c>
      <c r="I56" s="9" t="s">
        <v>247</v>
      </c>
      <c r="J56" s="9" t="s">
        <v>247</v>
      </c>
      <c r="K56" s="10" t="str">
        <f>VLOOKUP($C56,[1]Страны!$C$4:$M$215,9,0)</f>
        <v>Да</v>
      </c>
      <c r="L56" s="10" t="str">
        <f>VLOOKUP($C56,[1]Страны!$C$4:$M$215,10,0)</f>
        <v>Да</v>
      </c>
      <c r="M56" s="10"/>
    </row>
    <row r="57" spans="1:13" ht="14.4" customHeight="1" x14ac:dyDescent="0.35">
      <c r="A57" s="4" t="s">
        <v>6</v>
      </c>
      <c r="B57" s="10">
        <v>53</v>
      </c>
      <c r="C57" s="10" t="s">
        <v>68</v>
      </c>
      <c r="D57" s="10" t="s">
        <v>258</v>
      </c>
      <c r="E57" s="10" t="s">
        <v>218</v>
      </c>
      <c r="F57" s="10" t="s">
        <v>247</v>
      </c>
      <c r="G57" s="10" t="s">
        <v>248</v>
      </c>
      <c r="H57" s="10" t="s">
        <v>247</v>
      </c>
      <c r="I57" s="10" t="s">
        <v>247</v>
      </c>
      <c r="J57" s="10" t="s">
        <v>248</v>
      </c>
      <c r="K57" s="10" t="str">
        <f>VLOOKUP($C57,[1]Страны!$C$4:$M$215,9,0)</f>
        <v>Да</v>
      </c>
      <c r="L57" s="10" t="str">
        <f>VLOOKUP($C57,[1]Страны!$C$4:$M$215,10,0)</f>
        <v>Да</v>
      </c>
      <c r="M57" s="14"/>
    </row>
    <row r="58" spans="1:13" ht="14.4" customHeight="1" x14ac:dyDescent="0.35">
      <c r="A58" s="6" t="s">
        <v>210</v>
      </c>
      <c r="B58" s="10">
        <v>54</v>
      </c>
      <c r="C58" s="10" t="s">
        <v>79</v>
      </c>
      <c r="D58" s="10" t="s">
        <v>219</v>
      </c>
      <c r="E58" s="9" t="s">
        <v>220</v>
      </c>
      <c r="F58" s="10" t="s">
        <v>248</v>
      </c>
      <c r="G58" s="10" t="s">
        <v>248</v>
      </c>
      <c r="H58" s="10" t="s">
        <v>248</v>
      </c>
      <c r="I58" s="10" t="s">
        <v>248</v>
      </c>
      <c r="J58" s="10" t="s">
        <v>248</v>
      </c>
      <c r="K58" s="10" t="str">
        <f>VLOOKUP($C58,[1]Страны!$C$4:$M$215,9,0)</f>
        <v>Нет</v>
      </c>
      <c r="L58" s="10" t="str">
        <f>VLOOKUP($C58,[1]Страны!$C$4:$M$215,10,0)</f>
        <v>Нет</v>
      </c>
      <c r="M58" s="10"/>
    </row>
    <row r="59" spans="1:13" ht="14.4" customHeight="1" x14ac:dyDescent="0.35">
      <c r="A59" s="4" t="s">
        <v>209</v>
      </c>
      <c r="B59" s="10">
        <v>55</v>
      </c>
      <c r="C59" s="10" t="s">
        <v>55</v>
      </c>
      <c r="D59" s="10" t="s">
        <v>225</v>
      </c>
      <c r="E59" s="10" t="s">
        <v>242</v>
      </c>
      <c r="F59" s="10" t="s">
        <v>247</v>
      </c>
      <c r="G59" s="10" t="s">
        <v>247</v>
      </c>
      <c r="H59" s="10" t="s">
        <v>247</v>
      </c>
      <c r="I59" s="10" t="s">
        <v>247</v>
      </c>
      <c r="J59" s="10" t="s">
        <v>248</v>
      </c>
      <c r="K59" s="10" t="str">
        <f>VLOOKUP($C59,[1]Страны!$C$4:$M$215,9,0)</f>
        <v>Да</v>
      </c>
      <c r="L59" s="10" t="str">
        <f>VLOOKUP($C59,[1]Страны!$C$4:$M$215,10,0)</f>
        <v>Да</v>
      </c>
      <c r="M59" s="16"/>
    </row>
    <row r="60" spans="1:13" ht="14.4" customHeight="1" x14ac:dyDescent="0.35">
      <c r="A60" s="4" t="s">
        <v>209</v>
      </c>
      <c r="B60" s="10">
        <v>56</v>
      </c>
      <c r="C60" s="10" t="s">
        <v>197</v>
      </c>
      <c r="D60" s="10" t="s">
        <v>226</v>
      </c>
      <c r="E60" s="10" t="s">
        <v>242</v>
      </c>
      <c r="F60" s="10" t="s">
        <v>247</v>
      </c>
      <c r="G60" s="10" t="s">
        <v>247</v>
      </c>
      <c r="H60" s="10" t="s">
        <v>247</v>
      </c>
      <c r="I60" s="10" t="s">
        <v>247</v>
      </c>
      <c r="J60" s="10" t="s">
        <v>247</v>
      </c>
      <c r="K60" s="10" t="str">
        <f>VLOOKUP($C60,[1]Страны!$C$4:$M$215,9,0)</f>
        <v>Да</v>
      </c>
      <c r="L60" s="10" t="str">
        <f>VLOOKUP($C60,[1]Страны!$C$4:$M$215,10,0)</f>
        <v>Да</v>
      </c>
      <c r="M60" s="16"/>
    </row>
    <row r="61" spans="1:13" ht="14.4" customHeight="1" x14ac:dyDescent="0.35">
      <c r="A61" s="13" t="s">
        <v>0</v>
      </c>
      <c r="B61" s="10">
        <v>57</v>
      </c>
      <c r="C61" s="10" t="s">
        <v>66</v>
      </c>
      <c r="D61" s="10" t="s">
        <v>223</v>
      </c>
      <c r="E61" s="10" t="s">
        <v>218</v>
      </c>
      <c r="F61" s="10" t="s">
        <v>247</v>
      </c>
      <c r="G61" s="10" t="s">
        <v>248</v>
      </c>
      <c r="H61" s="10" t="s">
        <v>247</v>
      </c>
      <c r="I61" s="10" t="s">
        <v>247</v>
      </c>
      <c r="J61" s="10" t="s">
        <v>248</v>
      </c>
      <c r="K61" s="10" t="str">
        <f>VLOOKUP($C61,[1]Страны!$C$4:$M$215,9,0)</f>
        <v>Да</v>
      </c>
      <c r="L61" s="10" t="str">
        <f>VLOOKUP($C61,[1]Страны!$C$4:$M$215,10,0)</f>
        <v>Да</v>
      </c>
      <c r="M61" s="10"/>
    </row>
    <row r="62" spans="1:13" ht="14.4" customHeight="1" x14ac:dyDescent="0.35">
      <c r="A62" s="13" t="s">
        <v>5</v>
      </c>
      <c r="B62" s="10">
        <v>58</v>
      </c>
      <c r="C62" s="10" t="s">
        <v>56</v>
      </c>
      <c r="D62" s="10" t="s">
        <v>219</v>
      </c>
      <c r="E62" s="10" t="s">
        <v>218</v>
      </c>
      <c r="F62" s="10" t="s">
        <v>248</v>
      </c>
      <c r="G62" s="10" t="s">
        <v>248</v>
      </c>
      <c r="H62" s="10" t="s">
        <v>248</v>
      </c>
      <c r="I62" s="10" t="s">
        <v>248</v>
      </c>
      <c r="J62" s="10" t="s">
        <v>248</v>
      </c>
      <c r="K62" s="10" t="str">
        <f>VLOOKUP($C62,[1]Страны!$C$4:$M$215,9,0)</f>
        <v>Нет</v>
      </c>
      <c r="L62" s="10" t="str">
        <f>VLOOKUP($C62,[1]Страны!$C$4:$M$215,10,0)</f>
        <v>Нет</v>
      </c>
      <c r="M62" s="10"/>
    </row>
    <row r="63" spans="1:13" ht="14.4" customHeight="1" x14ac:dyDescent="0.35">
      <c r="A63" s="13" t="s">
        <v>5</v>
      </c>
      <c r="B63" s="10">
        <v>59</v>
      </c>
      <c r="C63" s="10" t="s">
        <v>57</v>
      </c>
      <c r="D63" s="18" t="s">
        <v>227</v>
      </c>
      <c r="E63" s="10" t="s">
        <v>218</v>
      </c>
      <c r="F63" s="10" t="s">
        <v>248</v>
      </c>
      <c r="G63" s="10" t="s">
        <v>248</v>
      </c>
      <c r="H63" s="10" t="s">
        <v>248</v>
      </c>
      <c r="I63" s="10" t="s">
        <v>247</v>
      </c>
      <c r="J63" s="10" t="s">
        <v>248</v>
      </c>
      <c r="K63" s="10" t="str">
        <f>VLOOKUP($C63,[1]Страны!$C$4:$M$215,9,0)</f>
        <v>Да</v>
      </c>
      <c r="L63" s="10" t="str">
        <f>VLOOKUP($C63,[1]Страны!$C$4:$M$215,10,0)</f>
        <v>Да</v>
      </c>
      <c r="M63" s="10"/>
    </row>
    <row r="64" spans="1:13" ht="14.4" customHeight="1" x14ac:dyDescent="0.35">
      <c r="A64" s="4" t="s">
        <v>0</v>
      </c>
      <c r="B64" s="10">
        <v>60</v>
      </c>
      <c r="C64" s="10" t="s">
        <v>196</v>
      </c>
      <c r="D64" s="10" t="s">
        <v>256</v>
      </c>
      <c r="E64" s="10" t="s">
        <v>218</v>
      </c>
      <c r="F64" s="10" t="s">
        <v>247</v>
      </c>
      <c r="G64" s="10" t="s">
        <v>248</v>
      </c>
      <c r="H64" s="10" t="s">
        <v>247</v>
      </c>
      <c r="I64" s="10" t="s">
        <v>247</v>
      </c>
      <c r="J64" s="10" t="s">
        <v>247</v>
      </c>
      <c r="K64" s="10" t="str">
        <f>VLOOKUP($C64,[1]Страны!$C$4:$M$215,9,0)</f>
        <v>Да</v>
      </c>
      <c r="L64" s="10" t="str">
        <f>VLOOKUP($C64,[1]Страны!$C$4:$M$215,10,0)</f>
        <v>Да</v>
      </c>
      <c r="M64" s="10"/>
    </row>
    <row r="65" spans="1:13" ht="14.4" customHeight="1" x14ac:dyDescent="0.35">
      <c r="A65" s="13" t="s">
        <v>0</v>
      </c>
      <c r="B65" s="10">
        <v>61</v>
      </c>
      <c r="C65" s="10" t="s">
        <v>205</v>
      </c>
      <c r="D65" s="10" t="s">
        <v>228</v>
      </c>
      <c r="E65" s="10" t="s">
        <v>218</v>
      </c>
      <c r="F65" s="10" t="s">
        <v>248</v>
      </c>
      <c r="G65" s="10" t="s">
        <v>248</v>
      </c>
      <c r="H65" s="10" t="s">
        <v>248</v>
      </c>
      <c r="I65" s="10" t="s">
        <v>247</v>
      </c>
      <c r="J65" s="10" t="s">
        <v>248</v>
      </c>
      <c r="K65" s="10" t="str">
        <f>VLOOKUP($C65,[1]Страны!$C$4:$M$215,9,0)</f>
        <v>Да</v>
      </c>
      <c r="L65" s="10" t="str">
        <f>VLOOKUP($C65,[1]Страны!$C$4:$M$215,10,0)</f>
        <v>Да</v>
      </c>
      <c r="M65" s="10"/>
    </row>
    <row r="66" spans="1:13" ht="14.4" customHeight="1" x14ac:dyDescent="0.35">
      <c r="A66" s="13" t="s">
        <v>0</v>
      </c>
      <c r="B66" s="10">
        <v>62</v>
      </c>
      <c r="C66" s="10" t="s">
        <v>174</v>
      </c>
      <c r="D66" s="10" t="s">
        <v>224</v>
      </c>
      <c r="E66" s="10" t="s">
        <v>218</v>
      </c>
      <c r="F66" s="10" t="s">
        <v>248</v>
      </c>
      <c r="G66" s="10" t="s">
        <v>248</v>
      </c>
      <c r="H66" s="10" t="s">
        <v>248</v>
      </c>
      <c r="I66" s="10" t="s">
        <v>247</v>
      </c>
      <c r="J66" s="10" t="s">
        <v>248</v>
      </c>
      <c r="K66" s="10" t="str">
        <f>VLOOKUP($C66,[1]Страны!$C$4:$M$215,9,0)</f>
        <v>Да</v>
      </c>
      <c r="L66" s="10" t="str">
        <f>VLOOKUP($C66,[1]Страны!$C$4:$M$215,10,0)</f>
        <v>Да</v>
      </c>
      <c r="M66" s="10"/>
    </row>
    <row r="67" spans="1:13" ht="14.4" customHeight="1" x14ac:dyDescent="0.35">
      <c r="A67" s="4" t="s">
        <v>212</v>
      </c>
      <c r="B67" s="10">
        <v>63</v>
      </c>
      <c r="C67" s="10" t="s">
        <v>93</v>
      </c>
      <c r="D67" s="10" t="s">
        <v>222</v>
      </c>
      <c r="E67" s="10" t="s">
        <v>218</v>
      </c>
      <c r="F67" s="10" t="s">
        <v>247</v>
      </c>
      <c r="G67" s="10" t="s">
        <v>248</v>
      </c>
      <c r="H67" s="10" t="s">
        <v>247</v>
      </c>
      <c r="I67" s="10" t="s">
        <v>247</v>
      </c>
      <c r="J67" s="10" t="s">
        <v>247</v>
      </c>
      <c r="K67" s="10" t="str">
        <f>VLOOKUP($C67,[1]Страны!$C$4:$M$215,9,0)</f>
        <v>Да</v>
      </c>
      <c r="L67" s="10" t="str">
        <f>VLOOKUP($C67,[1]Страны!$C$4:$M$215,10,0)</f>
        <v>Да</v>
      </c>
      <c r="M67" s="10"/>
    </row>
    <row r="68" spans="1:13" ht="14.4" customHeight="1" x14ac:dyDescent="0.35">
      <c r="A68" s="4" t="s">
        <v>210</v>
      </c>
      <c r="B68" s="10">
        <v>64</v>
      </c>
      <c r="C68" s="10" t="s">
        <v>88</v>
      </c>
      <c r="D68" s="10" t="s">
        <v>225</v>
      </c>
      <c r="E68" s="10" t="s">
        <v>218</v>
      </c>
      <c r="F68" s="10" t="s">
        <v>247</v>
      </c>
      <c r="G68" s="10" t="s">
        <v>248</v>
      </c>
      <c r="H68" s="10" t="s">
        <v>247</v>
      </c>
      <c r="I68" s="10" t="s">
        <v>247</v>
      </c>
      <c r="J68" s="10" t="s">
        <v>247</v>
      </c>
      <c r="K68" s="10" t="str">
        <f>VLOOKUP($C68,[1]Страны!$C$4:$M$215,9,0)</f>
        <v>Да</v>
      </c>
      <c r="L68" s="10" t="str">
        <f>VLOOKUP($C68,[1]Страны!$C$4:$M$215,10,0)</f>
        <v>Да</v>
      </c>
      <c r="M68" s="10"/>
    </row>
    <row r="69" spans="1:13" ht="14.4" customHeight="1" x14ac:dyDescent="0.35">
      <c r="A69" s="4" t="s">
        <v>210</v>
      </c>
      <c r="B69" s="10">
        <v>65</v>
      </c>
      <c r="C69" s="10" t="s">
        <v>89</v>
      </c>
      <c r="D69" s="10" t="s">
        <v>224</v>
      </c>
      <c r="E69" s="10" t="s">
        <v>218</v>
      </c>
      <c r="F69" s="10" t="s">
        <v>247</v>
      </c>
      <c r="G69" s="10" t="s">
        <v>248</v>
      </c>
      <c r="H69" s="10" t="s">
        <v>247</v>
      </c>
      <c r="I69" s="10" t="s">
        <v>247</v>
      </c>
      <c r="J69" s="10" t="s">
        <v>248</v>
      </c>
      <c r="K69" s="10" t="str">
        <f>VLOOKUP($C69,[1]Страны!$C$4:$M$215,9,0)</f>
        <v>Да</v>
      </c>
      <c r="L69" s="10" t="str">
        <f>VLOOKUP($C69,[1]Страны!$C$4:$M$215,10,0)</f>
        <v>Да</v>
      </c>
      <c r="M69" s="10"/>
    </row>
    <row r="70" spans="1:13" ht="14.4" customHeight="1" x14ac:dyDescent="0.35">
      <c r="A70" s="4" t="s">
        <v>212</v>
      </c>
      <c r="B70" s="10">
        <v>66</v>
      </c>
      <c r="C70" s="10" t="s">
        <v>99</v>
      </c>
      <c r="D70" s="10" t="s">
        <v>223</v>
      </c>
      <c r="E70" s="10" t="s">
        <v>218</v>
      </c>
      <c r="F70" s="10" t="s">
        <v>247</v>
      </c>
      <c r="G70" s="10" t="s">
        <v>248</v>
      </c>
      <c r="H70" s="10" t="s">
        <v>247</v>
      </c>
      <c r="I70" s="10" t="s">
        <v>247</v>
      </c>
      <c r="J70" s="10" t="s">
        <v>248</v>
      </c>
      <c r="K70" s="10" t="str">
        <f>VLOOKUP($C70,[1]Страны!$C$4:$M$215,9,0)</f>
        <v>Да</v>
      </c>
      <c r="L70" s="10" t="str">
        <f>VLOOKUP($C70,[1]Страны!$C$4:$M$215,10,0)</f>
        <v>Да</v>
      </c>
      <c r="M70" s="14"/>
    </row>
    <row r="71" spans="1:13" x14ac:dyDescent="0.35">
      <c r="A71" s="4" t="s">
        <v>212</v>
      </c>
      <c r="B71" s="10">
        <v>67</v>
      </c>
      <c r="C71" s="10" t="s">
        <v>91</v>
      </c>
      <c r="D71" s="10" t="s">
        <v>224</v>
      </c>
      <c r="E71" s="10" t="s">
        <v>218</v>
      </c>
      <c r="F71" s="10" t="s">
        <v>247</v>
      </c>
      <c r="G71" s="10" t="s">
        <v>248</v>
      </c>
      <c r="H71" s="10" t="s">
        <v>247</v>
      </c>
      <c r="I71" s="10" t="s">
        <v>247</v>
      </c>
      <c r="J71" s="10" t="s">
        <v>247</v>
      </c>
      <c r="K71" s="10" t="str">
        <f>VLOOKUP($C71,[1]Страны!$C$4:$M$215,9,0)</f>
        <v>Да</v>
      </c>
      <c r="L71" s="10" t="str">
        <f>VLOOKUP($C71,[1]Страны!$C$4:$M$215,10,0)</f>
        <v>Да</v>
      </c>
      <c r="M71" s="14"/>
    </row>
    <row r="72" spans="1:13" ht="14.4" customHeight="1" x14ac:dyDescent="0.35">
      <c r="A72" s="13" t="s">
        <v>212</v>
      </c>
      <c r="B72" s="10">
        <v>68</v>
      </c>
      <c r="C72" s="10" t="s">
        <v>90</v>
      </c>
      <c r="D72" s="10" t="s">
        <v>258</v>
      </c>
      <c r="E72" s="10" t="s">
        <v>218</v>
      </c>
      <c r="F72" s="10" t="s">
        <v>247</v>
      </c>
      <c r="G72" s="10" t="s">
        <v>248</v>
      </c>
      <c r="H72" s="10" t="s">
        <v>247</v>
      </c>
      <c r="I72" s="10" t="s">
        <v>247</v>
      </c>
      <c r="J72" s="10" t="s">
        <v>247</v>
      </c>
      <c r="K72" s="10" t="str">
        <f>VLOOKUP($C72,[1]Страны!$C$4:$M$215,9,0)</f>
        <v>Да</v>
      </c>
      <c r="L72" s="10" t="str">
        <f>VLOOKUP($C72,[1]Страны!$C$4:$M$215,10,0)</f>
        <v>Да</v>
      </c>
      <c r="M72" s="10"/>
    </row>
    <row r="73" spans="1:13" ht="14.4" customHeight="1" x14ac:dyDescent="0.35">
      <c r="A73" s="4" t="s">
        <v>209</v>
      </c>
      <c r="B73" s="10">
        <v>69</v>
      </c>
      <c r="C73" s="10" t="s">
        <v>92</v>
      </c>
      <c r="D73" s="10" t="s">
        <v>225</v>
      </c>
      <c r="E73" s="10" t="s">
        <v>242</v>
      </c>
      <c r="F73" s="9" t="s">
        <v>247</v>
      </c>
      <c r="G73" s="9" t="s">
        <v>248</v>
      </c>
      <c r="H73" s="9" t="s">
        <v>247</v>
      </c>
      <c r="I73" s="9" t="s">
        <v>247</v>
      </c>
      <c r="J73" s="9" t="s">
        <v>247</v>
      </c>
      <c r="K73" s="10" t="str">
        <f>VLOOKUP($C73,[1]Страны!$C$4:$M$215,9,0)</f>
        <v>Да</v>
      </c>
      <c r="L73" s="10" t="str">
        <f>VLOOKUP($C73,[1]Страны!$C$4:$M$215,10,0)</f>
        <v>Да</v>
      </c>
      <c r="M73" s="16"/>
    </row>
    <row r="74" spans="1:13" ht="14.4" customHeight="1" x14ac:dyDescent="0.35">
      <c r="A74" s="4" t="s">
        <v>209</v>
      </c>
      <c r="B74" s="10">
        <v>70</v>
      </c>
      <c r="C74" s="10" t="s">
        <v>87</v>
      </c>
      <c r="D74" s="10" t="s">
        <v>225</v>
      </c>
      <c r="E74" s="10" t="s">
        <v>218</v>
      </c>
      <c r="F74" s="10" t="s">
        <v>247</v>
      </c>
      <c r="G74" s="10" t="s">
        <v>248</v>
      </c>
      <c r="H74" s="10" t="s">
        <v>247</v>
      </c>
      <c r="I74" s="10" t="s">
        <v>247</v>
      </c>
      <c r="J74" s="10" t="s">
        <v>248</v>
      </c>
      <c r="K74" s="10" t="str">
        <f>VLOOKUP($C74,[1]Страны!$C$4:$M$215,9,0)</f>
        <v>Да</v>
      </c>
      <c r="L74" s="10" t="str">
        <f>VLOOKUP($C74,[1]Страны!$C$4:$M$215,10,0)</f>
        <v>Да</v>
      </c>
      <c r="M74" s="16"/>
    </row>
    <row r="75" spans="1:13" ht="14.4" customHeight="1" x14ac:dyDescent="0.35">
      <c r="A75" s="4" t="s">
        <v>209</v>
      </c>
      <c r="B75" s="10">
        <v>71</v>
      </c>
      <c r="C75" s="10" t="s">
        <v>175</v>
      </c>
      <c r="D75" s="18" t="s">
        <v>224</v>
      </c>
      <c r="E75" s="10" t="s">
        <v>242</v>
      </c>
      <c r="F75" s="10" t="s">
        <v>247</v>
      </c>
      <c r="G75" s="10" t="s">
        <v>247</v>
      </c>
      <c r="H75" s="10" t="s">
        <v>247</v>
      </c>
      <c r="I75" s="10" t="s">
        <v>247</v>
      </c>
      <c r="J75" s="10" t="s">
        <v>247</v>
      </c>
      <c r="K75" s="10" t="str">
        <f>VLOOKUP($C75,[1]Страны!$C$4:$M$215,9,0)</f>
        <v>Да</v>
      </c>
      <c r="L75" s="10" t="str">
        <f>VLOOKUP($C75,[1]Страны!$C$4:$M$215,10,0)</f>
        <v>Да</v>
      </c>
      <c r="M75" s="16"/>
    </row>
    <row r="76" spans="1:13" ht="14.4" customHeight="1" x14ac:dyDescent="0.35">
      <c r="A76" s="4" t="s">
        <v>209</v>
      </c>
      <c r="B76" s="10">
        <v>72</v>
      </c>
      <c r="C76" s="10" t="s">
        <v>94</v>
      </c>
      <c r="D76" s="18" t="s">
        <v>224</v>
      </c>
      <c r="E76" s="10" t="s">
        <v>242</v>
      </c>
      <c r="F76" s="10" t="s">
        <v>247</v>
      </c>
      <c r="G76" s="10" t="s">
        <v>247</v>
      </c>
      <c r="H76" s="10" t="s">
        <v>247</v>
      </c>
      <c r="I76" s="10" t="s">
        <v>247</v>
      </c>
      <c r="J76" s="10" t="s">
        <v>247</v>
      </c>
      <c r="K76" s="10" t="str">
        <f>VLOOKUP($C76,[1]Страны!$C$4:$M$215,9,0)</f>
        <v>Да</v>
      </c>
      <c r="L76" s="10" t="str">
        <f>VLOOKUP($C76,[1]Страны!$C$4:$M$215,10,0)</f>
        <v>Да</v>
      </c>
      <c r="M76" s="16"/>
    </row>
    <row r="77" spans="1:13" ht="14.4" customHeight="1" x14ac:dyDescent="0.35">
      <c r="A77" s="6" t="s">
        <v>212</v>
      </c>
      <c r="B77" s="10">
        <v>73</v>
      </c>
      <c r="C77" s="10" t="s">
        <v>204</v>
      </c>
      <c r="D77" s="10" t="s">
        <v>219</v>
      </c>
      <c r="E77" s="9" t="s">
        <v>220</v>
      </c>
      <c r="F77" s="10" t="s">
        <v>248</v>
      </c>
      <c r="G77" s="10" t="s">
        <v>248</v>
      </c>
      <c r="H77" s="10" t="s">
        <v>248</v>
      </c>
      <c r="I77" s="10" t="s">
        <v>248</v>
      </c>
      <c r="J77" s="10" t="s">
        <v>248</v>
      </c>
      <c r="K77" s="10" t="str">
        <f>VLOOKUP($C77,[1]Страны!$C$4:$M$215,9,0)</f>
        <v>Нет</v>
      </c>
      <c r="L77" s="10" t="str">
        <f>VLOOKUP($C77,[1]Страны!$C$4:$M$215,10,0)</f>
        <v>Нет</v>
      </c>
      <c r="M77" s="10"/>
    </row>
    <row r="78" spans="1:13" ht="14.4" customHeight="1" x14ac:dyDescent="0.35">
      <c r="A78" s="13" t="s">
        <v>0</v>
      </c>
      <c r="B78" s="10">
        <v>74</v>
      </c>
      <c r="C78" s="10" t="s">
        <v>38</v>
      </c>
      <c r="D78" s="10" t="s">
        <v>224</v>
      </c>
      <c r="E78" s="10" t="s">
        <v>218</v>
      </c>
      <c r="F78" s="10" t="s">
        <v>248</v>
      </c>
      <c r="G78" s="10" t="s">
        <v>248</v>
      </c>
      <c r="H78" s="10" t="s">
        <v>248</v>
      </c>
      <c r="I78" s="10" t="s">
        <v>247</v>
      </c>
      <c r="J78" s="10" t="s">
        <v>248</v>
      </c>
      <c r="K78" s="10" t="str">
        <f>VLOOKUP($C78,[1]Страны!$C$4:$M$215,9,0)</f>
        <v>Да</v>
      </c>
      <c r="L78" s="10" t="str">
        <f>VLOOKUP($C78,[1]Страны!$C$4:$M$215,10,0)</f>
        <v>Да</v>
      </c>
      <c r="M78" s="10"/>
    </row>
    <row r="79" spans="1:13" ht="14.4" customHeight="1" x14ac:dyDescent="0.35">
      <c r="A79" s="4" t="s">
        <v>6</v>
      </c>
      <c r="B79" s="10">
        <v>75</v>
      </c>
      <c r="C79" s="15" t="s">
        <v>98</v>
      </c>
      <c r="D79" s="10" t="s">
        <v>256</v>
      </c>
      <c r="E79" s="10" t="s">
        <v>218</v>
      </c>
      <c r="F79" s="15" t="s">
        <v>247</v>
      </c>
      <c r="G79" s="15" t="s">
        <v>248</v>
      </c>
      <c r="H79" s="15" t="s">
        <v>247</v>
      </c>
      <c r="I79" s="15" t="s">
        <v>247</v>
      </c>
      <c r="J79" s="15" t="s">
        <v>247</v>
      </c>
      <c r="K79" s="10" t="str">
        <f>VLOOKUP($C79,[1]Страны!$C$4:$M$215,9,0)</f>
        <v>Да</v>
      </c>
      <c r="L79" s="10" t="str">
        <f>VLOOKUP($C79,[1]Страны!$C$4:$M$215,10,0)</f>
        <v>Да</v>
      </c>
      <c r="M79" s="16"/>
    </row>
    <row r="80" spans="1:13" ht="14.4" customHeight="1" x14ac:dyDescent="0.35">
      <c r="A80" s="4" t="s">
        <v>210</v>
      </c>
      <c r="B80" s="10">
        <v>76</v>
      </c>
      <c r="C80" s="10" t="s">
        <v>35</v>
      </c>
      <c r="D80" s="10" t="s">
        <v>224</v>
      </c>
      <c r="E80" s="10" t="s">
        <v>218</v>
      </c>
      <c r="F80" s="9" t="s">
        <v>247</v>
      </c>
      <c r="G80" s="9" t="s">
        <v>248</v>
      </c>
      <c r="H80" s="9" t="s">
        <v>247</v>
      </c>
      <c r="I80" s="9" t="s">
        <v>247</v>
      </c>
      <c r="J80" s="9" t="s">
        <v>247</v>
      </c>
      <c r="K80" s="10" t="str">
        <f>VLOOKUP($C80,[1]Страны!$C$4:$M$215,9,0)</f>
        <v>Да</v>
      </c>
      <c r="L80" s="10" t="str">
        <f>VLOOKUP($C80,[1]Страны!$C$4:$M$215,10,0)</f>
        <v>Да</v>
      </c>
      <c r="M80" s="10"/>
    </row>
    <row r="81" spans="1:13" ht="14.4" customHeight="1" x14ac:dyDescent="0.35">
      <c r="A81" s="13" t="s">
        <v>0</v>
      </c>
      <c r="B81" s="10">
        <v>77</v>
      </c>
      <c r="C81" s="10" t="s">
        <v>36</v>
      </c>
      <c r="D81" s="10" t="s">
        <v>228</v>
      </c>
      <c r="E81" s="10" t="s">
        <v>218</v>
      </c>
      <c r="F81" s="15" t="s">
        <v>248</v>
      </c>
      <c r="G81" s="15" t="s">
        <v>248</v>
      </c>
      <c r="H81" s="15" t="s">
        <v>248</v>
      </c>
      <c r="I81" s="15" t="s">
        <v>247</v>
      </c>
      <c r="J81" s="15" t="s">
        <v>248</v>
      </c>
      <c r="K81" s="10" t="str">
        <f>VLOOKUP($C81,[1]Страны!$C$4:$M$215,9,0)</f>
        <v>Да</v>
      </c>
      <c r="L81" s="10" t="str">
        <f>VLOOKUP($C81,[1]Страны!$C$4:$M$215,10,0)</f>
        <v>Да</v>
      </c>
      <c r="M81" s="10"/>
    </row>
    <row r="82" spans="1:13" ht="14.4" customHeight="1" x14ac:dyDescent="0.35">
      <c r="A82" s="4" t="s">
        <v>211</v>
      </c>
      <c r="B82" s="10">
        <v>78</v>
      </c>
      <c r="C82" s="10" t="s">
        <v>37</v>
      </c>
      <c r="D82" s="10" t="s">
        <v>226</v>
      </c>
      <c r="E82" s="10" t="s">
        <v>218</v>
      </c>
      <c r="F82" s="15" t="s">
        <v>247</v>
      </c>
      <c r="G82" s="15" t="s">
        <v>248</v>
      </c>
      <c r="H82" s="15" t="s">
        <v>247</v>
      </c>
      <c r="I82" s="15" t="s">
        <v>247</v>
      </c>
      <c r="J82" s="15" t="s">
        <v>248</v>
      </c>
      <c r="K82" s="10" t="str">
        <f>VLOOKUP($C82,[1]Страны!$C$4:$M$215,9,0)</f>
        <v>Да</v>
      </c>
      <c r="L82" s="10" t="str">
        <f>VLOOKUP($C82,[1]Страны!$C$4:$M$215,10,0)</f>
        <v>Да</v>
      </c>
      <c r="M82" s="10"/>
    </row>
    <row r="83" spans="1:13" x14ac:dyDescent="0.35">
      <c r="A83" s="4" t="s">
        <v>212</v>
      </c>
      <c r="B83" s="10">
        <v>79</v>
      </c>
      <c r="C83" s="10" t="s">
        <v>156</v>
      </c>
      <c r="D83" s="10" t="s">
        <v>256</v>
      </c>
      <c r="E83" s="15" t="s">
        <v>218</v>
      </c>
      <c r="F83" s="9" t="s">
        <v>247</v>
      </c>
      <c r="G83" s="9" t="s">
        <v>248</v>
      </c>
      <c r="H83" s="9" t="s">
        <v>247</v>
      </c>
      <c r="I83" s="9" t="s">
        <v>247</v>
      </c>
      <c r="J83" s="9" t="s">
        <v>247</v>
      </c>
      <c r="K83" s="10" t="str">
        <f>VLOOKUP($C83,[1]Страны!$C$4:$M$215,9,0)</f>
        <v>Да</v>
      </c>
      <c r="L83" s="10" t="str">
        <f>VLOOKUP($C83,[1]Страны!$C$4:$M$215,10,0)</f>
        <v>Да</v>
      </c>
      <c r="M83" s="16"/>
    </row>
    <row r="84" spans="1:13" x14ac:dyDescent="0.35">
      <c r="A84" s="4" t="s">
        <v>5</v>
      </c>
      <c r="B84" s="10">
        <v>80</v>
      </c>
      <c r="C84" s="10" t="s">
        <v>244</v>
      </c>
      <c r="D84" s="10" t="s">
        <v>231</v>
      </c>
      <c r="E84" s="15" t="s">
        <v>218</v>
      </c>
      <c r="F84" s="15" t="s">
        <v>248</v>
      </c>
      <c r="G84" s="15" t="s">
        <v>248</v>
      </c>
      <c r="H84" s="15" t="s">
        <v>248</v>
      </c>
      <c r="I84" s="15" t="s">
        <v>247</v>
      </c>
      <c r="J84" s="15" t="s">
        <v>248</v>
      </c>
      <c r="K84" s="10" t="str">
        <f>VLOOKUP($C84,[1]Страны!$C$4:$M$215,9,0)</f>
        <v>Да</v>
      </c>
      <c r="L84" s="10" t="str">
        <f>VLOOKUP($C84,[1]Страны!$C$4:$M$215,10,0)</f>
        <v>Да</v>
      </c>
      <c r="M84" s="16"/>
    </row>
    <row r="85" spans="1:13" ht="14.4" customHeight="1" x14ac:dyDescent="0.35">
      <c r="A85" s="13" t="s">
        <v>0</v>
      </c>
      <c r="B85" s="10">
        <v>81</v>
      </c>
      <c r="C85" s="15" t="s">
        <v>100</v>
      </c>
      <c r="D85" s="10" t="s">
        <v>225</v>
      </c>
      <c r="E85" s="9" t="s">
        <v>218</v>
      </c>
      <c r="F85" s="15" t="s">
        <v>247</v>
      </c>
      <c r="G85" s="15" t="s">
        <v>248</v>
      </c>
      <c r="H85" s="15" t="s">
        <v>247</v>
      </c>
      <c r="I85" s="15" t="s">
        <v>247</v>
      </c>
      <c r="J85" s="15" t="s">
        <v>247</v>
      </c>
      <c r="K85" s="10" t="str">
        <f>VLOOKUP($C85,[1]Страны!$C$4:$M$215,9,0)</f>
        <v>Да</v>
      </c>
      <c r="L85" s="10" t="str">
        <f>VLOOKUP($C85,[1]Страны!$C$4:$M$215,10,0)</f>
        <v>Да</v>
      </c>
      <c r="M85" s="15"/>
    </row>
    <row r="86" spans="1:13" ht="14.4" customHeight="1" x14ac:dyDescent="0.35">
      <c r="A86" s="4" t="s">
        <v>209</v>
      </c>
      <c r="B86" s="10">
        <v>82</v>
      </c>
      <c r="C86" s="15" t="s">
        <v>52</v>
      </c>
      <c r="D86" s="10" t="s">
        <v>226</v>
      </c>
      <c r="E86" s="15" t="s">
        <v>218</v>
      </c>
      <c r="F86" s="10" t="s">
        <v>247</v>
      </c>
      <c r="G86" s="10" t="s">
        <v>248</v>
      </c>
      <c r="H86" s="10" t="s">
        <v>247</v>
      </c>
      <c r="I86" s="10" t="s">
        <v>247</v>
      </c>
      <c r="J86" s="10" t="s">
        <v>247</v>
      </c>
      <c r="K86" s="10" t="str">
        <f>VLOOKUP($C86,[1]Страны!$C$4:$M$215,9,0)</f>
        <v>Да</v>
      </c>
      <c r="L86" s="10" t="str">
        <f>VLOOKUP($C86,[1]Страны!$C$4:$M$215,10,0)</f>
        <v>Да</v>
      </c>
      <c r="M86" s="16"/>
    </row>
    <row r="87" spans="1:13" ht="14.4" customHeight="1" x14ac:dyDescent="0.35">
      <c r="A87" s="4" t="s">
        <v>6</v>
      </c>
      <c r="B87" s="10">
        <v>83</v>
      </c>
      <c r="C87" s="10" t="s">
        <v>104</v>
      </c>
      <c r="D87" s="10" t="s">
        <v>256</v>
      </c>
      <c r="E87" s="15" t="s">
        <v>218</v>
      </c>
      <c r="F87" s="9" t="s">
        <v>247</v>
      </c>
      <c r="G87" s="9" t="s">
        <v>248</v>
      </c>
      <c r="H87" s="9" t="s">
        <v>247</v>
      </c>
      <c r="I87" s="9" t="s">
        <v>247</v>
      </c>
      <c r="J87" s="9" t="s">
        <v>247</v>
      </c>
      <c r="K87" s="10" t="str">
        <f>VLOOKUP($C87,[1]Страны!$C$4:$M$215,9,0)</f>
        <v>Да</v>
      </c>
      <c r="L87" s="10" t="str">
        <f>VLOOKUP($C87,[1]Страны!$C$4:$M$215,10,0)</f>
        <v>Да</v>
      </c>
      <c r="M87" s="10"/>
    </row>
    <row r="88" spans="1:13" ht="14.4" customHeight="1" x14ac:dyDescent="0.35">
      <c r="A88" s="6" t="s">
        <v>4</v>
      </c>
      <c r="B88" s="10">
        <v>84</v>
      </c>
      <c r="C88" s="10" t="s">
        <v>74</v>
      </c>
      <c r="D88" s="10" t="s">
        <v>219</v>
      </c>
      <c r="E88" s="9" t="s">
        <v>220</v>
      </c>
      <c r="F88" s="9" t="s">
        <v>248</v>
      </c>
      <c r="G88" s="9" t="s">
        <v>248</v>
      </c>
      <c r="H88" s="9" t="s">
        <v>248</v>
      </c>
      <c r="I88" s="9" t="s">
        <v>248</v>
      </c>
      <c r="J88" s="9" t="s">
        <v>248</v>
      </c>
      <c r="K88" s="10" t="str">
        <f>VLOOKUP($C88,[1]Страны!$C$4:$M$215,9,0)</f>
        <v>Нет</v>
      </c>
      <c r="L88" s="10" t="str">
        <f>VLOOKUP($C88,[1]Страны!$C$4:$M$215,10,0)</f>
        <v>Нет</v>
      </c>
      <c r="M88" s="10"/>
    </row>
    <row r="89" spans="1:13" ht="14.4" customHeight="1" x14ac:dyDescent="0.35">
      <c r="A89" s="4" t="s">
        <v>210</v>
      </c>
      <c r="B89" s="10">
        <v>85</v>
      </c>
      <c r="C89" s="10" t="s">
        <v>43</v>
      </c>
      <c r="D89" s="10" t="s">
        <v>226</v>
      </c>
      <c r="E89" s="10" t="s">
        <v>242</v>
      </c>
      <c r="F89" s="10" t="s">
        <v>247</v>
      </c>
      <c r="G89" s="10" t="s">
        <v>247</v>
      </c>
      <c r="H89" s="10" t="s">
        <v>247</v>
      </c>
      <c r="I89" s="10" t="s">
        <v>247</v>
      </c>
      <c r="J89" s="10" t="s">
        <v>247</v>
      </c>
      <c r="K89" s="10" t="str">
        <f>VLOOKUP($C89,[1]Страны!$C$4:$M$215,9,0)</f>
        <v>Да</v>
      </c>
      <c r="L89" s="10" t="str">
        <f>VLOOKUP($C89,[1]Страны!$C$4:$M$215,10,0)</f>
        <v>Да</v>
      </c>
      <c r="M89" s="10"/>
    </row>
    <row r="90" spans="1:13" ht="14.4" customHeight="1" x14ac:dyDescent="0.35">
      <c r="A90" s="13" t="s">
        <v>5</v>
      </c>
      <c r="B90" s="10">
        <v>86</v>
      </c>
      <c r="C90" s="10" t="s">
        <v>45</v>
      </c>
      <c r="D90" s="10" t="s">
        <v>230</v>
      </c>
      <c r="E90" s="10" t="s">
        <v>218</v>
      </c>
      <c r="F90" s="10" t="s">
        <v>247</v>
      </c>
      <c r="G90" s="10" t="s">
        <v>248</v>
      </c>
      <c r="H90" s="10" t="s">
        <v>247</v>
      </c>
      <c r="I90" s="10" t="s">
        <v>247</v>
      </c>
      <c r="J90" s="10" t="s">
        <v>247</v>
      </c>
      <c r="K90" s="10" t="str">
        <f>VLOOKUP($C90,[1]Страны!$C$4:$M$215,9,0)</f>
        <v>Да</v>
      </c>
      <c r="L90" s="10" t="str">
        <f>VLOOKUP($C90,[1]Страны!$C$4:$M$215,10,0)</f>
        <v>Да</v>
      </c>
      <c r="M90" s="10"/>
    </row>
    <row r="91" spans="1:13" ht="14.4" customHeight="1" x14ac:dyDescent="0.35">
      <c r="A91" s="5" t="s">
        <v>0</v>
      </c>
      <c r="B91" s="10">
        <v>87</v>
      </c>
      <c r="C91" s="10" t="s">
        <v>46</v>
      </c>
      <c r="D91" s="10" t="s">
        <v>219</v>
      </c>
      <c r="E91" s="9" t="s">
        <v>220</v>
      </c>
      <c r="F91" s="10" t="s">
        <v>248</v>
      </c>
      <c r="G91" s="10" t="s">
        <v>248</v>
      </c>
      <c r="H91" s="10" t="s">
        <v>248</v>
      </c>
      <c r="I91" s="10" t="s">
        <v>248</v>
      </c>
      <c r="J91" s="10" t="s">
        <v>248</v>
      </c>
      <c r="K91" s="10" t="str">
        <f>VLOOKUP($C91,[1]Страны!$C$4:$M$215,9,0)</f>
        <v>Нет</v>
      </c>
      <c r="L91" s="10" t="str">
        <f>VLOOKUP($C91,[1]Страны!$C$4:$M$215,10,0)</f>
        <v>Нет</v>
      </c>
      <c r="M91" s="10"/>
    </row>
    <row r="92" spans="1:13" ht="14.4" customHeight="1" x14ac:dyDescent="0.35">
      <c r="A92" s="5" t="s">
        <v>0</v>
      </c>
      <c r="B92" s="10">
        <v>88</v>
      </c>
      <c r="C92" s="10" t="s">
        <v>47</v>
      </c>
      <c r="D92" s="10" t="s">
        <v>219</v>
      </c>
      <c r="E92" s="9" t="s">
        <v>220</v>
      </c>
      <c r="F92" s="10" t="s">
        <v>248</v>
      </c>
      <c r="G92" s="10" t="s">
        <v>248</v>
      </c>
      <c r="H92" s="10" t="s">
        <v>248</v>
      </c>
      <c r="I92" s="10" t="s">
        <v>248</v>
      </c>
      <c r="J92" s="10" t="s">
        <v>248</v>
      </c>
      <c r="K92" s="10" t="str">
        <f>VLOOKUP($C92,[1]Страны!$C$4:$M$215,9,0)</f>
        <v>Нет</v>
      </c>
      <c r="L92" s="10" t="str">
        <f>VLOOKUP($C92,[1]Страны!$C$4:$M$215,10,0)</f>
        <v>Нет</v>
      </c>
      <c r="M92" s="10"/>
    </row>
    <row r="93" spans="1:13" ht="14.4" customHeight="1" x14ac:dyDescent="0.35">
      <c r="A93" s="13" t="s">
        <v>0</v>
      </c>
      <c r="B93" s="10">
        <v>89</v>
      </c>
      <c r="C93" s="10" t="s">
        <v>48</v>
      </c>
      <c r="D93" s="10" t="s">
        <v>228</v>
      </c>
      <c r="E93" s="10" t="s">
        <v>218</v>
      </c>
      <c r="F93" s="9" t="s">
        <v>248</v>
      </c>
      <c r="G93" s="9" t="s">
        <v>248</v>
      </c>
      <c r="H93" s="9" t="s">
        <v>248</v>
      </c>
      <c r="I93" s="9" t="s">
        <v>247</v>
      </c>
      <c r="J93" s="9" t="s">
        <v>248</v>
      </c>
      <c r="K93" s="10" t="str">
        <f>VLOOKUP($C93,[1]Страны!$C$4:$M$215,9,0)</f>
        <v>Да</v>
      </c>
      <c r="L93" s="10" t="str">
        <f>VLOOKUP($C93,[1]Страны!$C$4:$M$215,10,0)</f>
        <v>Да</v>
      </c>
      <c r="M93" s="10"/>
    </row>
    <row r="94" spans="1:13" ht="14.4" customHeight="1" x14ac:dyDescent="0.35">
      <c r="A94" s="4" t="s">
        <v>210</v>
      </c>
      <c r="B94" s="10">
        <v>90</v>
      </c>
      <c r="C94" s="10" t="s">
        <v>101</v>
      </c>
      <c r="D94" s="10" t="s">
        <v>256</v>
      </c>
      <c r="E94" s="10" t="s">
        <v>218</v>
      </c>
      <c r="F94" s="9" t="s">
        <v>248</v>
      </c>
      <c r="G94" s="9" t="s">
        <v>248</v>
      </c>
      <c r="H94" s="9" t="s">
        <v>247</v>
      </c>
      <c r="I94" s="9" t="s">
        <v>248</v>
      </c>
      <c r="J94" s="9" t="s">
        <v>248</v>
      </c>
      <c r="K94" s="10" t="str">
        <f>VLOOKUP($C94,[1]Страны!$C$4:$M$215,9,0)</f>
        <v>Нет</v>
      </c>
      <c r="L94" s="10" t="str">
        <f>VLOOKUP($C94,[1]Страны!$C$4:$M$215,10,0)</f>
        <v>Нет</v>
      </c>
      <c r="M94" s="10"/>
    </row>
    <row r="95" spans="1:13" ht="14.4" customHeight="1" x14ac:dyDescent="0.35">
      <c r="A95" s="4" t="s">
        <v>210</v>
      </c>
      <c r="B95" s="10">
        <v>91</v>
      </c>
      <c r="C95" s="10" t="s">
        <v>102</v>
      </c>
      <c r="D95" s="10" t="s">
        <v>255</v>
      </c>
      <c r="E95" s="10" t="s">
        <v>218</v>
      </c>
      <c r="F95" s="10" t="s">
        <v>247</v>
      </c>
      <c r="G95" s="10" t="s">
        <v>248</v>
      </c>
      <c r="H95" s="10" t="s">
        <v>247</v>
      </c>
      <c r="I95" s="10" t="s">
        <v>247</v>
      </c>
      <c r="J95" s="10" t="s">
        <v>247</v>
      </c>
      <c r="K95" s="10" t="str">
        <f>VLOOKUP($C95,[1]Страны!$C$4:$M$215,9,0)</f>
        <v>Да</v>
      </c>
      <c r="L95" s="10" t="str">
        <f>VLOOKUP($C95,[1]Страны!$C$4:$M$215,10,0)</f>
        <v>Да</v>
      </c>
      <c r="M95" s="10"/>
    </row>
    <row r="96" spans="1:13" ht="14.4" customHeight="1" x14ac:dyDescent="0.35">
      <c r="A96" s="13" t="s">
        <v>5</v>
      </c>
      <c r="B96" s="10">
        <v>92</v>
      </c>
      <c r="C96" s="10" t="s">
        <v>49</v>
      </c>
      <c r="D96" s="10" t="s">
        <v>224</v>
      </c>
      <c r="E96" s="10" t="s">
        <v>218</v>
      </c>
      <c r="F96" s="15" t="s">
        <v>248</v>
      </c>
      <c r="G96" s="15" t="s">
        <v>248</v>
      </c>
      <c r="H96" s="15" t="s">
        <v>248</v>
      </c>
      <c r="I96" s="15" t="s">
        <v>247</v>
      </c>
      <c r="J96" s="15" t="s">
        <v>248</v>
      </c>
      <c r="K96" s="10" t="str">
        <f>VLOOKUP($C96,[1]Страны!$C$4:$M$215,9,0)</f>
        <v>Да</v>
      </c>
      <c r="L96" s="10" t="str">
        <f>VLOOKUP($C96,[1]Страны!$C$4:$M$215,10,0)</f>
        <v>Да</v>
      </c>
      <c r="M96" s="10"/>
    </row>
    <row r="97" spans="1:13" ht="14.4" customHeight="1" x14ac:dyDescent="0.35">
      <c r="A97" s="13" t="s">
        <v>0</v>
      </c>
      <c r="B97" s="10">
        <v>93</v>
      </c>
      <c r="C97" s="10" t="s">
        <v>95</v>
      </c>
      <c r="D97" s="10" t="s">
        <v>224</v>
      </c>
      <c r="E97" s="10" t="s">
        <v>218</v>
      </c>
      <c r="F97" s="9" t="s">
        <v>248</v>
      </c>
      <c r="G97" s="9" t="s">
        <v>248</v>
      </c>
      <c r="H97" s="9" t="s">
        <v>248</v>
      </c>
      <c r="I97" s="9" t="s">
        <v>247</v>
      </c>
      <c r="J97" s="9" t="s">
        <v>248</v>
      </c>
      <c r="K97" s="10" t="str">
        <f>VLOOKUP($C97,[1]Страны!$C$4:$M$215,9,0)</f>
        <v>Да</v>
      </c>
      <c r="L97" s="10" t="str">
        <f>VLOOKUP($C97,[1]Страны!$C$4:$M$215,10,0)</f>
        <v>Да</v>
      </c>
      <c r="M97" s="10"/>
    </row>
    <row r="98" spans="1:13" ht="14.4" customHeight="1" x14ac:dyDescent="0.35">
      <c r="A98" s="13" t="s">
        <v>5</v>
      </c>
      <c r="B98" s="10">
        <v>94</v>
      </c>
      <c r="C98" s="15" t="s">
        <v>51</v>
      </c>
      <c r="D98" s="18" t="s">
        <v>228</v>
      </c>
      <c r="E98" s="10" t="s">
        <v>232</v>
      </c>
      <c r="F98" s="10" t="s">
        <v>247</v>
      </c>
      <c r="G98" s="10" t="s">
        <v>248</v>
      </c>
      <c r="H98" s="10" t="s">
        <v>247</v>
      </c>
      <c r="I98" s="10" t="s">
        <v>247</v>
      </c>
      <c r="J98" s="10" t="s">
        <v>247</v>
      </c>
      <c r="K98" s="10" t="str">
        <f>VLOOKUP($C98,[1]Страны!$C$4:$M$215,9,0)</f>
        <v>Да</v>
      </c>
      <c r="L98" s="10" t="str">
        <f>VLOOKUP($C98,[1]Страны!$C$4:$M$215,10,0)</f>
        <v>Да</v>
      </c>
      <c r="M98" s="15" t="s">
        <v>241</v>
      </c>
    </row>
    <row r="99" spans="1:13" ht="14.4" customHeight="1" x14ac:dyDescent="0.35">
      <c r="A99" s="4" t="s">
        <v>212</v>
      </c>
      <c r="B99" s="10">
        <v>95</v>
      </c>
      <c r="C99" s="10" t="s">
        <v>103</v>
      </c>
      <c r="D99" s="10" t="s">
        <v>224</v>
      </c>
      <c r="E99" s="15" t="s">
        <v>218</v>
      </c>
      <c r="F99" s="10" t="s">
        <v>247</v>
      </c>
      <c r="G99" s="10" t="s">
        <v>248</v>
      </c>
      <c r="H99" s="10" t="s">
        <v>247</v>
      </c>
      <c r="I99" s="10" t="s">
        <v>247</v>
      </c>
      <c r="J99" s="10" t="s">
        <v>247</v>
      </c>
      <c r="K99" s="10" t="str">
        <f>VLOOKUP($C99,[1]Страны!$C$4:$M$215,9,0)</f>
        <v>Да</v>
      </c>
      <c r="L99" s="10" t="str">
        <f>VLOOKUP($C99,[1]Страны!$C$4:$M$215,10,0)</f>
        <v>Да</v>
      </c>
      <c r="M99" s="16"/>
    </row>
    <row r="100" spans="1:13" ht="14.4" customHeight="1" x14ac:dyDescent="0.35">
      <c r="A100" s="6" t="s">
        <v>5</v>
      </c>
      <c r="B100" s="10">
        <v>96</v>
      </c>
      <c r="C100" s="10" t="s">
        <v>133</v>
      </c>
      <c r="D100" s="10" t="s">
        <v>219</v>
      </c>
      <c r="E100" s="9" t="s">
        <v>220</v>
      </c>
      <c r="F100" s="9" t="s">
        <v>248</v>
      </c>
      <c r="G100" s="9" t="s">
        <v>248</v>
      </c>
      <c r="H100" s="9" t="s">
        <v>248</v>
      </c>
      <c r="I100" s="9" t="s">
        <v>248</v>
      </c>
      <c r="J100" s="9" t="s">
        <v>248</v>
      </c>
      <c r="K100" s="10" t="str">
        <f>VLOOKUP($C100,[1]Страны!$C$4:$M$215,9,0)</f>
        <v>Нет</v>
      </c>
      <c r="L100" s="10" t="str">
        <f>VLOOKUP($C100,[1]Страны!$C$4:$M$215,10,0)</f>
        <v>Нет</v>
      </c>
      <c r="M100" s="10"/>
    </row>
    <row r="101" spans="1:13" ht="14.4" customHeight="1" x14ac:dyDescent="0.35">
      <c r="A101" s="4" t="s">
        <v>210</v>
      </c>
      <c r="B101" s="10">
        <v>97</v>
      </c>
      <c r="C101" s="10" t="s">
        <v>233</v>
      </c>
      <c r="D101" s="10" t="s">
        <v>224</v>
      </c>
      <c r="E101" s="10" t="s">
        <v>218</v>
      </c>
      <c r="F101" s="15" t="s">
        <v>248</v>
      </c>
      <c r="G101" s="15" t="s">
        <v>248</v>
      </c>
      <c r="H101" s="15" t="s">
        <v>248</v>
      </c>
      <c r="I101" s="15" t="s">
        <v>247</v>
      </c>
      <c r="J101" s="15" t="s">
        <v>248</v>
      </c>
      <c r="K101" s="10" t="str">
        <f>VLOOKUP($C101,[1]Страны!$C$4:$M$215,9,0)</f>
        <v>Да</v>
      </c>
      <c r="L101" s="10" t="str">
        <f>VLOOKUP($C101,[1]Страны!$C$4:$M$215,10,0)</f>
        <v>Да</v>
      </c>
      <c r="M101" s="10"/>
    </row>
    <row r="102" spans="1:13" ht="14.4" customHeight="1" x14ac:dyDescent="0.35">
      <c r="A102" s="4" t="s">
        <v>209</v>
      </c>
      <c r="B102" s="10">
        <v>98</v>
      </c>
      <c r="C102" s="10" t="s">
        <v>107</v>
      </c>
      <c r="D102" s="10" t="s">
        <v>225</v>
      </c>
      <c r="E102" s="10" t="s">
        <v>242</v>
      </c>
      <c r="F102" s="15" t="s">
        <v>247</v>
      </c>
      <c r="G102" s="15" t="s">
        <v>247</v>
      </c>
      <c r="H102" s="15" t="s">
        <v>247</v>
      </c>
      <c r="I102" s="15" t="s">
        <v>247</v>
      </c>
      <c r="J102" s="15" t="s">
        <v>247</v>
      </c>
      <c r="K102" s="10" t="str">
        <f>VLOOKUP($C102,[1]Страны!$C$4:$M$215,9,0)</f>
        <v>Да</v>
      </c>
      <c r="L102" s="10" t="str">
        <f>VLOOKUP($C102,[1]Страны!$C$4:$M$215,10,0)</f>
        <v>Да</v>
      </c>
      <c r="M102" s="14"/>
    </row>
    <row r="103" spans="1:13" x14ac:dyDescent="0.35">
      <c r="A103" s="5" t="s">
        <v>0</v>
      </c>
      <c r="B103" s="10">
        <v>99</v>
      </c>
      <c r="C103" s="10" t="s">
        <v>106</v>
      </c>
      <c r="D103" s="10" t="s">
        <v>219</v>
      </c>
      <c r="E103" s="9" t="s">
        <v>220</v>
      </c>
      <c r="F103" s="9" t="s">
        <v>248</v>
      </c>
      <c r="G103" s="9" t="s">
        <v>248</v>
      </c>
      <c r="H103" s="9" t="s">
        <v>248</v>
      </c>
      <c r="I103" s="9" t="s">
        <v>248</v>
      </c>
      <c r="J103" s="9" t="s">
        <v>248</v>
      </c>
      <c r="K103" s="10" t="str">
        <f>VLOOKUP($C103,[1]Страны!$C$4:$M$215,9,0)</f>
        <v>Нет</v>
      </c>
      <c r="L103" s="10" t="str">
        <f>VLOOKUP($C103,[1]Страны!$C$4:$M$215,10,0)</f>
        <v>Нет</v>
      </c>
      <c r="M103" s="10"/>
    </row>
    <row r="104" spans="1:13" ht="14.4" customHeight="1" x14ac:dyDescent="0.35">
      <c r="A104" s="13" t="s">
        <v>0</v>
      </c>
      <c r="B104" s="10">
        <v>100</v>
      </c>
      <c r="C104" s="10" t="s">
        <v>108</v>
      </c>
      <c r="D104" s="10" t="s">
        <v>224</v>
      </c>
      <c r="E104" s="15" t="s">
        <v>218</v>
      </c>
      <c r="F104" s="10" t="s">
        <v>247</v>
      </c>
      <c r="G104" s="10" t="s">
        <v>248</v>
      </c>
      <c r="H104" s="10" t="s">
        <v>248</v>
      </c>
      <c r="I104" s="10" t="s">
        <v>247</v>
      </c>
      <c r="J104" s="10" t="s">
        <v>247</v>
      </c>
      <c r="K104" s="10" t="str">
        <f>VLOOKUP($C104,[1]Страны!$C$4:$M$215,9,0)</f>
        <v>Да</v>
      </c>
      <c r="L104" s="10" t="str">
        <f>VLOOKUP($C104,[1]Страны!$C$4:$M$215,10,0)</f>
        <v>Да</v>
      </c>
      <c r="M104" s="10"/>
    </row>
    <row r="105" spans="1:13" ht="14.4" customHeight="1" x14ac:dyDescent="0.35">
      <c r="A105" s="4" t="s">
        <v>212</v>
      </c>
      <c r="B105" s="10">
        <v>101</v>
      </c>
      <c r="C105" s="10" t="s">
        <v>105</v>
      </c>
      <c r="D105" s="10" t="s">
        <v>224</v>
      </c>
      <c r="E105" s="15" t="s">
        <v>218</v>
      </c>
      <c r="F105" s="10" t="s">
        <v>247</v>
      </c>
      <c r="G105" s="10" t="s">
        <v>248</v>
      </c>
      <c r="H105" s="10" t="s">
        <v>247</v>
      </c>
      <c r="I105" s="10" t="s">
        <v>247</v>
      </c>
      <c r="J105" s="10" t="s">
        <v>247</v>
      </c>
      <c r="K105" s="10" t="str">
        <f>VLOOKUP($C105,[1]Страны!$C$4:$M$215,9,0)</f>
        <v>Да</v>
      </c>
      <c r="L105" s="10" t="str">
        <f>VLOOKUP($C105,[1]Страны!$C$4:$M$215,10,0)</f>
        <v>Да</v>
      </c>
      <c r="M105" s="16"/>
    </row>
    <row r="106" spans="1:13" x14ac:dyDescent="0.35">
      <c r="A106" s="5" t="s">
        <v>0</v>
      </c>
      <c r="B106" s="10">
        <v>102</v>
      </c>
      <c r="C106" s="10" t="s">
        <v>109</v>
      </c>
      <c r="D106" s="10" t="s">
        <v>219</v>
      </c>
      <c r="E106" s="9" t="s">
        <v>220</v>
      </c>
      <c r="F106" s="10" t="s">
        <v>248</v>
      </c>
      <c r="G106" s="10" t="s">
        <v>248</v>
      </c>
      <c r="H106" s="10" t="s">
        <v>248</v>
      </c>
      <c r="I106" s="10" t="s">
        <v>248</v>
      </c>
      <c r="J106" s="10" t="s">
        <v>248</v>
      </c>
      <c r="K106" s="10" t="str">
        <f>VLOOKUP($C106,[1]Страны!$C$4:$M$215,9,0)</f>
        <v>Нет</v>
      </c>
      <c r="L106" s="10" t="str">
        <f>VLOOKUP($C106,[1]Страны!$C$4:$M$215,10,0)</f>
        <v>Нет</v>
      </c>
      <c r="M106" s="10"/>
    </row>
    <row r="107" spans="1:13" ht="14.4" customHeight="1" x14ac:dyDescent="0.35">
      <c r="A107" s="4" t="s">
        <v>209</v>
      </c>
      <c r="B107" s="10">
        <v>103</v>
      </c>
      <c r="C107" s="10" t="s">
        <v>111</v>
      </c>
      <c r="D107" s="10" t="s">
        <v>225</v>
      </c>
      <c r="E107" s="10" t="s">
        <v>242</v>
      </c>
      <c r="F107" s="10" t="s">
        <v>247</v>
      </c>
      <c r="G107" s="10" t="s">
        <v>247</v>
      </c>
      <c r="H107" s="10" t="s">
        <v>247</v>
      </c>
      <c r="I107" s="10" t="s">
        <v>247</v>
      </c>
      <c r="J107" s="10" t="s">
        <v>247</v>
      </c>
      <c r="K107" s="10" t="str">
        <f>VLOOKUP($C107,[1]Страны!$C$4:$M$215,9,0)</f>
        <v>Да</v>
      </c>
      <c r="L107" s="10" t="str">
        <f>VLOOKUP($C107,[1]Страны!$C$4:$M$215,10,0)</f>
        <v>Да</v>
      </c>
      <c r="M107" s="10"/>
    </row>
    <row r="108" spans="1:13" ht="14.4" customHeight="1" x14ac:dyDescent="0.35">
      <c r="A108" s="4" t="s">
        <v>209</v>
      </c>
      <c r="B108" s="10">
        <v>104</v>
      </c>
      <c r="C108" s="10" t="s">
        <v>110</v>
      </c>
      <c r="D108" s="10" t="s">
        <v>225</v>
      </c>
      <c r="E108" s="10" t="s">
        <v>242</v>
      </c>
      <c r="F108" s="10" t="s">
        <v>247</v>
      </c>
      <c r="G108" s="10" t="s">
        <v>247</v>
      </c>
      <c r="H108" s="10" t="s">
        <v>247</v>
      </c>
      <c r="I108" s="10" t="s">
        <v>247</v>
      </c>
      <c r="J108" s="10" t="s">
        <v>248</v>
      </c>
      <c r="K108" s="10" t="str">
        <f>VLOOKUP($C108,[1]Страны!$C$4:$M$215,9,0)</f>
        <v>Да</v>
      </c>
      <c r="L108" s="10" t="str">
        <f>VLOOKUP($C108,[1]Страны!$C$4:$M$215,10,0)</f>
        <v>Да</v>
      </c>
      <c r="M108" s="16"/>
    </row>
    <row r="109" spans="1:13" ht="14.4" customHeight="1" x14ac:dyDescent="0.35">
      <c r="A109" s="4" t="s">
        <v>209</v>
      </c>
      <c r="B109" s="10">
        <v>105</v>
      </c>
      <c r="C109" s="10" t="s">
        <v>112</v>
      </c>
      <c r="D109" s="18" t="s">
        <v>223</v>
      </c>
      <c r="E109" s="10" t="s">
        <v>242</v>
      </c>
      <c r="F109" s="9" t="s">
        <v>247</v>
      </c>
      <c r="G109" s="9" t="s">
        <v>247</v>
      </c>
      <c r="H109" s="9" t="s">
        <v>247</v>
      </c>
      <c r="I109" s="9" t="s">
        <v>247</v>
      </c>
      <c r="J109" s="9" t="s">
        <v>247</v>
      </c>
      <c r="K109" s="10" t="str">
        <f>VLOOKUP($C109,[1]Страны!$C$4:$M$215,9,0)</f>
        <v>Да</v>
      </c>
      <c r="L109" s="10" t="str">
        <f>VLOOKUP($C109,[1]Страны!$C$4:$M$215,10,0)</f>
        <v>Да</v>
      </c>
      <c r="M109" s="16"/>
    </row>
    <row r="110" spans="1:13" ht="14.4" customHeight="1" x14ac:dyDescent="0.35">
      <c r="A110" s="13" t="s">
        <v>0</v>
      </c>
      <c r="B110" s="10">
        <v>106</v>
      </c>
      <c r="C110" s="15" t="s">
        <v>120</v>
      </c>
      <c r="D110" s="10" t="s">
        <v>226</v>
      </c>
      <c r="E110" s="10" t="s">
        <v>218</v>
      </c>
      <c r="F110" s="9" t="s">
        <v>247</v>
      </c>
      <c r="G110" s="9" t="s">
        <v>248</v>
      </c>
      <c r="H110" s="9" t="s">
        <v>247</v>
      </c>
      <c r="I110" s="9" t="s">
        <v>247</v>
      </c>
      <c r="J110" s="9" t="s">
        <v>248</v>
      </c>
      <c r="K110" s="10" t="str">
        <f>VLOOKUP($C110,[1]Страны!$C$4:$M$215,9,0)</f>
        <v>Да</v>
      </c>
      <c r="L110" s="10" t="str">
        <f>VLOOKUP($C110,[1]Страны!$C$4:$M$215,10,0)</f>
        <v>Да</v>
      </c>
      <c r="M110" s="15"/>
    </row>
    <row r="111" spans="1:13" ht="14.4" customHeight="1" x14ac:dyDescent="0.35">
      <c r="A111" s="13" t="s">
        <v>0</v>
      </c>
      <c r="B111" s="10">
        <v>107</v>
      </c>
      <c r="C111" s="10" t="s">
        <v>119</v>
      </c>
      <c r="D111" s="10" t="s">
        <v>225</v>
      </c>
      <c r="E111" s="10" t="s">
        <v>218</v>
      </c>
      <c r="F111" s="9" t="s">
        <v>248</v>
      </c>
      <c r="G111" s="9" t="s">
        <v>248</v>
      </c>
      <c r="H111" s="9" t="s">
        <v>248</v>
      </c>
      <c r="I111" s="9" t="s">
        <v>247</v>
      </c>
      <c r="J111" s="9" t="s">
        <v>248</v>
      </c>
      <c r="K111" s="10" t="str">
        <f>VLOOKUP($C111,[1]Страны!$C$4:$M$215,9,0)</f>
        <v>Да</v>
      </c>
      <c r="L111" s="10" t="str">
        <f>VLOOKUP($C111,[1]Страны!$C$4:$M$215,10,0)</f>
        <v>Да</v>
      </c>
      <c r="M111" s="10"/>
    </row>
    <row r="112" spans="1:13" ht="14.4" customHeight="1" x14ac:dyDescent="0.35">
      <c r="A112" s="13" t="s">
        <v>0</v>
      </c>
      <c r="B112" s="10">
        <v>108</v>
      </c>
      <c r="C112" s="10" t="s">
        <v>114</v>
      </c>
      <c r="D112" s="10" t="s">
        <v>227</v>
      </c>
      <c r="E112" s="9" t="s">
        <v>218</v>
      </c>
      <c r="F112" s="15" t="s">
        <v>248</v>
      </c>
      <c r="G112" s="15" t="s">
        <v>248</v>
      </c>
      <c r="H112" s="15" t="s">
        <v>248</v>
      </c>
      <c r="I112" s="15" t="s">
        <v>247</v>
      </c>
      <c r="J112" s="15" t="s">
        <v>248</v>
      </c>
      <c r="K112" s="10" t="str">
        <f>VLOOKUP($C112,[1]Страны!$C$4:$M$215,9,0)</f>
        <v>Да</v>
      </c>
      <c r="L112" s="10" t="str">
        <f>VLOOKUP($C112,[1]Страны!$C$4:$M$215,10,0)</f>
        <v>Да</v>
      </c>
      <c r="M112" s="10"/>
    </row>
    <row r="113" spans="1:13" ht="14.4" customHeight="1" x14ac:dyDescent="0.35">
      <c r="A113" s="4" t="s">
        <v>210</v>
      </c>
      <c r="B113" s="10">
        <v>109</v>
      </c>
      <c r="C113" s="10" t="s">
        <v>113</v>
      </c>
      <c r="D113" s="10" t="s">
        <v>224</v>
      </c>
      <c r="E113" s="9" t="s">
        <v>218</v>
      </c>
      <c r="F113" s="15" t="s">
        <v>247</v>
      </c>
      <c r="G113" s="15" t="s">
        <v>248</v>
      </c>
      <c r="H113" s="15" t="s">
        <v>247</v>
      </c>
      <c r="I113" s="15" t="s">
        <v>247</v>
      </c>
      <c r="J113" s="15" t="s">
        <v>247</v>
      </c>
      <c r="K113" s="10" t="str">
        <f>VLOOKUP($C113,[1]Страны!$C$4:$M$215,9,0)</f>
        <v>Да</v>
      </c>
      <c r="L113" s="10" t="str">
        <f>VLOOKUP($C113,[1]Страны!$C$4:$M$215,10,0)</f>
        <v>Да</v>
      </c>
      <c r="M113" s="10"/>
    </row>
    <row r="114" spans="1:13" ht="14.4" customHeight="1" x14ac:dyDescent="0.35">
      <c r="A114" s="13" t="s">
        <v>0</v>
      </c>
      <c r="B114" s="10">
        <v>110</v>
      </c>
      <c r="C114" s="10" t="s">
        <v>115</v>
      </c>
      <c r="D114" s="10" t="s">
        <v>226</v>
      </c>
      <c r="E114" s="9" t="s">
        <v>218</v>
      </c>
      <c r="F114" s="10" t="s">
        <v>248</v>
      </c>
      <c r="G114" s="10" t="s">
        <v>248</v>
      </c>
      <c r="H114" s="10" t="s">
        <v>248</v>
      </c>
      <c r="I114" s="10" t="s">
        <v>247</v>
      </c>
      <c r="J114" s="10" t="s">
        <v>248</v>
      </c>
      <c r="K114" s="10" t="str">
        <f>VLOOKUP($C114,[1]Страны!$C$4:$M$215,9,0)</f>
        <v>Да</v>
      </c>
      <c r="L114" s="10" t="str">
        <f>VLOOKUP($C114,[1]Страны!$C$4:$M$215,10,0)</f>
        <v>Да</v>
      </c>
      <c r="M114" s="10"/>
    </row>
    <row r="115" spans="1:13" ht="14.4" customHeight="1" x14ac:dyDescent="0.35">
      <c r="A115" s="4" t="s">
        <v>210</v>
      </c>
      <c r="B115" s="10">
        <v>111</v>
      </c>
      <c r="C115" s="10" t="s">
        <v>116</v>
      </c>
      <c r="D115" s="10" t="s">
        <v>256</v>
      </c>
      <c r="E115" s="15" t="s">
        <v>218</v>
      </c>
      <c r="F115" s="10" t="s">
        <v>247</v>
      </c>
      <c r="G115" s="10" t="s">
        <v>248</v>
      </c>
      <c r="H115" s="10" t="s">
        <v>247</v>
      </c>
      <c r="I115" s="10" t="s">
        <v>247</v>
      </c>
      <c r="J115" s="10" t="s">
        <v>247</v>
      </c>
      <c r="K115" s="10" t="str">
        <f>VLOOKUP($C115,[1]Страны!$C$4:$M$215,9,0)</f>
        <v>Да</v>
      </c>
      <c r="L115" s="10" t="str">
        <f>VLOOKUP($C115,[1]Страны!$C$4:$M$215,10,0)</f>
        <v>Да</v>
      </c>
      <c r="M115" s="10"/>
    </row>
    <row r="116" spans="1:13" ht="14.4" customHeight="1" x14ac:dyDescent="0.35">
      <c r="A116" s="13" t="s">
        <v>0</v>
      </c>
      <c r="B116" s="10">
        <v>112</v>
      </c>
      <c r="C116" s="10" t="s">
        <v>117</v>
      </c>
      <c r="D116" s="10" t="s">
        <v>222</v>
      </c>
      <c r="E116" s="15" t="s">
        <v>218</v>
      </c>
      <c r="F116" s="9" t="s">
        <v>248</v>
      </c>
      <c r="G116" s="9" t="s">
        <v>248</v>
      </c>
      <c r="H116" s="9" t="s">
        <v>248</v>
      </c>
      <c r="I116" s="9" t="s">
        <v>247</v>
      </c>
      <c r="J116" s="9" t="s">
        <v>248</v>
      </c>
      <c r="K116" s="10" t="str">
        <f>VLOOKUP($C116,[1]Страны!$C$4:$M$215,9,0)</f>
        <v>Да</v>
      </c>
      <c r="L116" s="10" t="str">
        <f>VLOOKUP($C116,[1]Страны!$C$4:$M$215,10,0)</f>
        <v>Да</v>
      </c>
      <c r="M116" s="10"/>
    </row>
    <row r="117" spans="1:13" ht="14.4" customHeight="1" x14ac:dyDescent="0.35">
      <c r="A117" s="4" t="s">
        <v>210</v>
      </c>
      <c r="B117" s="10">
        <v>113</v>
      </c>
      <c r="C117" s="10" t="s">
        <v>239</v>
      </c>
      <c r="D117" s="10" t="s">
        <v>229</v>
      </c>
      <c r="E117" s="10" t="s">
        <v>218</v>
      </c>
      <c r="F117" s="9" t="s">
        <v>247</v>
      </c>
      <c r="G117" s="9" t="s">
        <v>248</v>
      </c>
      <c r="H117" s="9" t="s">
        <v>247</v>
      </c>
      <c r="I117" s="9" t="s">
        <v>247</v>
      </c>
      <c r="J117" s="9" t="s">
        <v>248</v>
      </c>
      <c r="K117" s="10" t="str">
        <f>VLOOKUP($C117,[1]Страны!$C$4:$M$215,9,0)</f>
        <v>Да</v>
      </c>
      <c r="L117" s="10" t="str">
        <f>VLOOKUP($C117,[1]Страны!$C$4:$M$215,10,0)</f>
        <v>Да</v>
      </c>
      <c r="M117" s="10"/>
    </row>
    <row r="118" spans="1:13" ht="14.4" customHeight="1" x14ac:dyDescent="0.35">
      <c r="A118" s="4" t="s">
        <v>209</v>
      </c>
      <c r="B118" s="10">
        <v>114</v>
      </c>
      <c r="C118" s="10" t="s">
        <v>118</v>
      </c>
      <c r="D118" s="10" t="s">
        <v>224</v>
      </c>
      <c r="E118" s="10" t="s">
        <v>218</v>
      </c>
      <c r="F118" s="10" t="s">
        <v>247</v>
      </c>
      <c r="G118" s="10" t="s">
        <v>248</v>
      </c>
      <c r="H118" s="10" t="s">
        <v>247</v>
      </c>
      <c r="I118" s="10" t="s">
        <v>247</v>
      </c>
      <c r="J118" s="10" t="s">
        <v>247</v>
      </c>
      <c r="K118" s="10" t="str">
        <f>VLOOKUP($C118,[1]Страны!$C$4:$M$215,9,0)</f>
        <v>Да</v>
      </c>
      <c r="L118" s="10" t="str">
        <f>VLOOKUP($C118,[1]Страны!$C$4:$M$215,10,0)</f>
        <v>Да</v>
      </c>
      <c r="M118" s="14"/>
    </row>
    <row r="119" spans="1:13" ht="14.4" customHeight="1" x14ac:dyDescent="0.35">
      <c r="A119" s="13" t="s">
        <v>0</v>
      </c>
      <c r="B119" s="10">
        <v>115</v>
      </c>
      <c r="C119" s="10" t="s">
        <v>126</v>
      </c>
      <c r="D119" s="10" t="s">
        <v>225</v>
      </c>
      <c r="E119" s="9" t="s">
        <v>218</v>
      </c>
      <c r="F119" s="9" t="s">
        <v>247</v>
      </c>
      <c r="G119" s="9" t="s">
        <v>248</v>
      </c>
      <c r="H119" s="9" t="s">
        <v>247</v>
      </c>
      <c r="I119" s="9" t="s">
        <v>247</v>
      </c>
      <c r="J119" s="9" t="s">
        <v>247</v>
      </c>
      <c r="K119" s="10" t="str">
        <f>VLOOKUP($C119,[1]Страны!$C$4:$M$215,9,0)</f>
        <v>Да</v>
      </c>
      <c r="L119" s="10" t="str">
        <f>VLOOKUP($C119,[1]Страны!$C$4:$M$215,10,0)</f>
        <v>Да</v>
      </c>
      <c r="M119" s="15"/>
    </row>
    <row r="120" spans="1:13" ht="14.4" customHeight="1" x14ac:dyDescent="0.35">
      <c r="A120" s="6" t="s">
        <v>4</v>
      </c>
      <c r="B120" s="10">
        <v>116</v>
      </c>
      <c r="C120" s="10" t="s">
        <v>143</v>
      </c>
      <c r="D120" s="10" t="s">
        <v>219</v>
      </c>
      <c r="E120" s="9" t="s">
        <v>220</v>
      </c>
      <c r="F120" s="9" t="s">
        <v>248</v>
      </c>
      <c r="G120" s="9" t="s">
        <v>248</v>
      </c>
      <c r="H120" s="9" t="s">
        <v>248</v>
      </c>
      <c r="I120" s="9" t="s">
        <v>248</v>
      </c>
      <c r="J120" s="9" t="s">
        <v>248</v>
      </c>
      <c r="K120" s="10" t="str">
        <f>VLOOKUP($C120,[1]Страны!$C$4:$M$215,9,0)</f>
        <v>Нет</v>
      </c>
      <c r="L120" s="10" t="str">
        <f>VLOOKUP($C120,[1]Страны!$C$4:$M$215,10,0)</f>
        <v>Нет</v>
      </c>
      <c r="M120" s="10"/>
    </row>
    <row r="121" spans="1:13" ht="14.4" customHeight="1" x14ac:dyDescent="0.35">
      <c r="A121" s="13" t="s">
        <v>5</v>
      </c>
      <c r="B121" s="10">
        <v>117</v>
      </c>
      <c r="C121" s="10" t="s">
        <v>121</v>
      </c>
      <c r="D121" s="10" t="s">
        <v>224</v>
      </c>
      <c r="E121" s="10" t="s">
        <v>218</v>
      </c>
      <c r="F121" s="10" t="s">
        <v>247</v>
      </c>
      <c r="G121" s="10" t="s">
        <v>248</v>
      </c>
      <c r="H121" s="10" t="s">
        <v>247</v>
      </c>
      <c r="I121" s="10" t="s">
        <v>247</v>
      </c>
      <c r="J121" s="10" t="s">
        <v>247</v>
      </c>
      <c r="K121" s="10" t="str">
        <f>VLOOKUP($C121,[1]Страны!$C$4:$M$215,9,0)</f>
        <v>Да</v>
      </c>
      <c r="L121" s="10" t="str">
        <f>VLOOKUP($C121,[1]Страны!$C$4:$M$215,10,0)</f>
        <v>Да</v>
      </c>
      <c r="M121" s="10"/>
    </row>
    <row r="122" spans="1:13" ht="14.4" customHeight="1" x14ac:dyDescent="0.35">
      <c r="A122" s="6" t="s">
        <v>4</v>
      </c>
      <c r="B122" s="10">
        <v>118</v>
      </c>
      <c r="C122" s="10" t="s">
        <v>142</v>
      </c>
      <c r="D122" s="10" t="s">
        <v>219</v>
      </c>
      <c r="E122" s="9" t="s">
        <v>220</v>
      </c>
      <c r="F122" s="10" t="s">
        <v>248</v>
      </c>
      <c r="G122" s="10" t="s">
        <v>248</v>
      </c>
      <c r="H122" s="10" t="s">
        <v>248</v>
      </c>
      <c r="I122" s="10" t="s">
        <v>248</v>
      </c>
      <c r="J122" s="10" t="s">
        <v>248</v>
      </c>
      <c r="K122" s="10" t="str">
        <f>VLOOKUP($C122,[1]Страны!$C$4:$M$215,9,0)</f>
        <v>Нет</v>
      </c>
      <c r="L122" s="10" t="str">
        <f>VLOOKUP($C122,[1]Страны!$C$4:$M$215,10,0)</f>
        <v>Нет</v>
      </c>
      <c r="M122" s="10"/>
    </row>
    <row r="123" spans="1:13" ht="14.4" customHeight="1" x14ac:dyDescent="0.35">
      <c r="A123" s="13" t="s">
        <v>0</v>
      </c>
      <c r="B123" s="10">
        <v>119</v>
      </c>
      <c r="C123" s="10" t="s">
        <v>127</v>
      </c>
      <c r="D123" s="10" t="s">
        <v>226</v>
      </c>
      <c r="E123" s="9" t="s">
        <v>218</v>
      </c>
      <c r="F123" s="15" t="s">
        <v>247</v>
      </c>
      <c r="G123" s="15" t="s">
        <v>248</v>
      </c>
      <c r="H123" s="15" t="s">
        <v>247</v>
      </c>
      <c r="I123" s="15" t="s">
        <v>247</v>
      </c>
      <c r="J123" s="15" t="s">
        <v>247</v>
      </c>
      <c r="K123" s="10" t="str">
        <f>VLOOKUP($C123,[1]Страны!$C$4:$M$215,9,0)</f>
        <v>Да</v>
      </c>
      <c r="L123" s="10" t="str">
        <f>VLOOKUP($C123,[1]Страны!$C$4:$M$215,10,0)</f>
        <v>Да</v>
      </c>
      <c r="M123" s="10"/>
    </row>
    <row r="124" spans="1:13" ht="14.4" customHeight="1" x14ac:dyDescent="0.35">
      <c r="A124" s="4" t="s">
        <v>6</v>
      </c>
      <c r="B124" s="10">
        <v>120</v>
      </c>
      <c r="C124" s="10" t="s">
        <v>124</v>
      </c>
      <c r="D124" s="10" t="s">
        <v>258</v>
      </c>
      <c r="E124" s="10" t="s">
        <v>218</v>
      </c>
      <c r="F124" s="10" t="s">
        <v>247</v>
      </c>
      <c r="G124" s="10" t="s">
        <v>248</v>
      </c>
      <c r="H124" s="10" t="s">
        <v>247</v>
      </c>
      <c r="I124" s="10" t="s">
        <v>247</v>
      </c>
      <c r="J124" s="10" t="s">
        <v>247</v>
      </c>
      <c r="K124" s="10" t="str">
        <f>VLOOKUP($C124,[1]Страны!$C$4:$M$215,9,0)</f>
        <v>Да</v>
      </c>
      <c r="L124" s="10" t="str">
        <f>VLOOKUP($C124,[1]Страны!$C$4:$M$215,10,0)</f>
        <v>Да</v>
      </c>
      <c r="M124" s="10"/>
    </row>
    <row r="125" spans="1:13" ht="14.4" customHeight="1" x14ac:dyDescent="0.35">
      <c r="A125" s="4" t="s">
        <v>209</v>
      </c>
      <c r="B125" s="10">
        <v>121</v>
      </c>
      <c r="C125" s="10" t="s">
        <v>122</v>
      </c>
      <c r="D125" s="10" t="s">
        <v>224</v>
      </c>
      <c r="E125" s="10" t="s">
        <v>242</v>
      </c>
      <c r="F125" s="10" t="s">
        <v>247</v>
      </c>
      <c r="G125" s="10" t="s">
        <v>247</v>
      </c>
      <c r="H125" s="10" t="s">
        <v>247</v>
      </c>
      <c r="I125" s="10" t="s">
        <v>247</v>
      </c>
      <c r="J125" s="10" t="s">
        <v>247</v>
      </c>
      <c r="K125" s="10" t="str">
        <f>VLOOKUP($C125,[1]Страны!$C$4:$M$215,9,0)</f>
        <v>Да</v>
      </c>
      <c r="L125" s="10" t="str">
        <f>VLOOKUP($C125,[1]Страны!$C$4:$M$215,10,0)</f>
        <v>Да</v>
      </c>
      <c r="M125" s="16"/>
    </row>
    <row r="126" spans="1:13" ht="14.4" customHeight="1" x14ac:dyDescent="0.35">
      <c r="A126" s="4" t="s">
        <v>210</v>
      </c>
      <c r="B126" s="10">
        <v>122</v>
      </c>
      <c r="C126" s="10" t="s">
        <v>123</v>
      </c>
      <c r="D126" s="10" t="s">
        <v>224</v>
      </c>
      <c r="E126" s="10" t="s">
        <v>242</v>
      </c>
      <c r="F126" s="9" t="s">
        <v>247</v>
      </c>
      <c r="G126" s="9" t="s">
        <v>247</v>
      </c>
      <c r="H126" s="9" t="s">
        <v>247</v>
      </c>
      <c r="I126" s="9" t="s">
        <v>247</v>
      </c>
      <c r="J126" s="9" t="s">
        <v>247</v>
      </c>
      <c r="K126" s="10" t="str">
        <f>VLOOKUP($C126,[1]Страны!$C$4:$M$215,9,0)</f>
        <v>Да</v>
      </c>
      <c r="L126" s="10" t="str">
        <f>VLOOKUP($C126,[1]Страны!$C$4:$M$215,10,0)</f>
        <v>Да</v>
      </c>
      <c r="M126" s="14"/>
    </row>
    <row r="127" spans="1:13" ht="14.4" customHeight="1" x14ac:dyDescent="0.35">
      <c r="A127" s="4" t="s">
        <v>210</v>
      </c>
      <c r="B127" s="10">
        <v>123</v>
      </c>
      <c r="C127" s="10" t="s">
        <v>32</v>
      </c>
      <c r="D127" s="10" t="s">
        <v>224</v>
      </c>
      <c r="E127" s="10" t="s">
        <v>218</v>
      </c>
      <c r="F127" s="9" t="s">
        <v>248</v>
      </c>
      <c r="G127" s="9" t="s">
        <v>248</v>
      </c>
      <c r="H127" s="9" t="s">
        <v>248</v>
      </c>
      <c r="I127" s="9" t="s">
        <v>247</v>
      </c>
      <c r="J127" s="9" t="s">
        <v>248</v>
      </c>
      <c r="K127" s="10" t="str">
        <f>VLOOKUP($C127,[1]Страны!$C$4:$M$215,9,0)</f>
        <v>Да</v>
      </c>
      <c r="L127" s="10" t="str">
        <f>VLOOKUP($C127,[1]Страны!$C$4:$M$215,10,0)</f>
        <v>Да</v>
      </c>
      <c r="M127" s="10"/>
    </row>
    <row r="128" spans="1:13" ht="14.4" customHeight="1" x14ac:dyDescent="0.35">
      <c r="A128" s="13" t="s">
        <v>0</v>
      </c>
      <c r="B128" s="10">
        <v>124</v>
      </c>
      <c r="C128" s="10" t="s">
        <v>129</v>
      </c>
      <c r="D128" s="10" t="s">
        <v>228</v>
      </c>
      <c r="E128" s="10" t="s">
        <v>218</v>
      </c>
      <c r="F128" s="9" t="s">
        <v>248</v>
      </c>
      <c r="G128" s="9" t="s">
        <v>248</v>
      </c>
      <c r="H128" s="9" t="s">
        <v>248</v>
      </c>
      <c r="I128" s="9" t="s">
        <v>247</v>
      </c>
      <c r="J128" s="9" t="s">
        <v>248</v>
      </c>
      <c r="K128" s="10" t="str">
        <f>VLOOKUP($C128,[1]Страны!$C$4:$M$215,9,0)</f>
        <v>Да</v>
      </c>
      <c r="L128" s="10" t="str">
        <f>VLOOKUP($C128,[1]Страны!$C$4:$M$215,10,0)</f>
        <v>Да</v>
      </c>
      <c r="M128" s="10"/>
    </row>
    <row r="129" spans="1:13" ht="14.4" customHeight="1" x14ac:dyDescent="0.35">
      <c r="A129" s="6" t="s">
        <v>4</v>
      </c>
      <c r="B129" s="10">
        <v>125</v>
      </c>
      <c r="C129" s="10" t="s">
        <v>130</v>
      </c>
      <c r="D129" s="10" t="s">
        <v>219</v>
      </c>
      <c r="E129" s="9" t="s">
        <v>220</v>
      </c>
      <c r="F129" s="10" t="s">
        <v>248</v>
      </c>
      <c r="G129" s="10" t="s">
        <v>248</v>
      </c>
      <c r="H129" s="10" t="s">
        <v>248</v>
      </c>
      <c r="I129" s="10" t="s">
        <v>248</v>
      </c>
      <c r="J129" s="10" t="s">
        <v>248</v>
      </c>
      <c r="K129" s="10" t="str">
        <f>VLOOKUP($C129,[1]Страны!$C$4:$M$215,9,0)</f>
        <v>Нет</v>
      </c>
      <c r="L129" s="10" t="str">
        <f>VLOOKUP($C129,[1]Страны!$C$4:$M$215,10,0)</f>
        <v>Нет</v>
      </c>
      <c r="M129" s="10"/>
    </row>
    <row r="130" spans="1:13" ht="14.4" customHeight="1" x14ac:dyDescent="0.35">
      <c r="A130" s="4" t="s">
        <v>210</v>
      </c>
      <c r="B130" s="10">
        <v>126</v>
      </c>
      <c r="C130" s="15" t="s">
        <v>131</v>
      </c>
      <c r="D130" s="10" t="s">
        <v>256</v>
      </c>
      <c r="E130" s="9" t="s">
        <v>218</v>
      </c>
      <c r="F130" s="10" t="s">
        <v>248</v>
      </c>
      <c r="G130" s="10" t="s">
        <v>248</v>
      </c>
      <c r="H130" s="10" t="s">
        <v>248</v>
      </c>
      <c r="I130" s="10" t="s">
        <v>247</v>
      </c>
      <c r="J130" s="10" t="s">
        <v>248</v>
      </c>
      <c r="K130" s="10" t="str">
        <f>VLOOKUP($C130,[1]Страны!$C$4:$M$215,9,0)</f>
        <v>Да</v>
      </c>
      <c r="L130" s="10" t="str">
        <f>VLOOKUP($C130,[1]Страны!$C$4:$M$215,10,0)</f>
        <v>Да</v>
      </c>
      <c r="M130" s="16"/>
    </row>
    <row r="131" spans="1:13" ht="14.4" customHeight="1" x14ac:dyDescent="0.35">
      <c r="A131" s="13" t="s">
        <v>0</v>
      </c>
      <c r="B131" s="10">
        <v>127</v>
      </c>
      <c r="C131" s="10" t="s">
        <v>138</v>
      </c>
      <c r="D131" s="10" t="s">
        <v>228</v>
      </c>
      <c r="E131" s="9" t="s">
        <v>218</v>
      </c>
      <c r="F131" s="10" t="s">
        <v>248</v>
      </c>
      <c r="G131" s="10" t="s">
        <v>248</v>
      </c>
      <c r="H131" s="10" t="s">
        <v>248</v>
      </c>
      <c r="I131" s="10" t="s">
        <v>247</v>
      </c>
      <c r="J131" s="10" t="s">
        <v>248</v>
      </c>
      <c r="K131" s="10" t="str">
        <f>VLOOKUP($C131,[1]Страны!$C$4:$M$215,9,0)</f>
        <v>Да</v>
      </c>
      <c r="L131" s="10" t="str">
        <f>VLOOKUP($C131,[1]Страны!$C$4:$M$215,10,0)</f>
        <v>Да</v>
      </c>
      <c r="M131" s="10"/>
    </row>
    <row r="132" spans="1:13" ht="14.4" customHeight="1" x14ac:dyDescent="0.35">
      <c r="A132" s="13" t="s">
        <v>0</v>
      </c>
      <c r="B132" s="10">
        <v>128</v>
      </c>
      <c r="C132" s="10" t="s">
        <v>139</v>
      </c>
      <c r="D132" s="10" t="s">
        <v>228</v>
      </c>
      <c r="E132" s="10" t="s">
        <v>218</v>
      </c>
      <c r="F132" s="9" t="s">
        <v>247</v>
      </c>
      <c r="G132" s="9" t="s">
        <v>248</v>
      </c>
      <c r="H132" s="9" t="s">
        <v>247</v>
      </c>
      <c r="I132" s="9" t="s">
        <v>247</v>
      </c>
      <c r="J132" s="9" t="s">
        <v>247</v>
      </c>
      <c r="K132" s="10" t="str">
        <f>VLOOKUP($C132,[1]Страны!$C$4:$M$215,9,0)</f>
        <v>Да</v>
      </c>
      <c r="L132" s="10" t="str">
        <f>VLOOKUP($C132,[1]Страны!$C$4:$M$215,10,0)</f>
        <v>Да</v>
      </c>
      <c r="M132" s="10"/>
    </row>
    <row r="133" spans="1:13" ht="14.4" customHeight="1" x14ac:dyDescent="0.35">
      <c r="A133" s="4" t="s">
        <v>209</v>
      </c>
      <c r="B133" s="10">
        <v>129</v>
      </c>
      <c r="C133" s="10" t="s">
        <v>132</v>
      </c>
      <c r="D133" s="10" t="s">
        <v>225</v>
      </c>
      <c r="E133" s="10" t="s">
        <v>242</v>
      </c>
      <c r="F133" s="10" t="s">
        <v>247</v>
      </c>
      <c r="G133" s="10" t="s">
        <v>247</v>
      </c>
      <c r="H133" s="10" t="s">
        <v>247</v>
      </c>
      <c r="I133" s="10" t="s">
        <v>247</v>
      </c>
      <c r="J133" s="10" t="s">
        <v>247</v>
      </c>
      <c r="K133" s="10" t="str">
        <f>VLOOKUP($C133,[1]Страны!$C$4:$M$215,9,0)</f>
        <v>Да</v>
      </c>
      <c r="L133" s="10" t="str">
        <f>VLOOKUP($C133,[1]Страны!$C$4:$M$215,10,0)</f>
        <v>Да</v>
      </c>
      <c r="M133" s="10"/>
    </row>
    <row r="134" spans="1:13" ht="14.4" customHeight="1" x14ac:dyDescent="0.35">
      <c r="A134" s="13" t="s">
        <v>5</v>
      </c>
      <c r="B134" s="10">
        <v>130</v>
      </c>
      <c r="C134" s="10" t="s">
        <v>137</v>
      </c>
      <c r="D134" s="10" t="s">
        <v>222</v>
      </c>
      <c r="E134" s="10" t="s">
        <v>218</v>
      </c>
      <c r="F134" s="9" t="s">
        <v>248</v>
      </c>
      <c r="G134" s="9" t="s">
        <v>248</v>
      </c>
      <c r="H134" s="9" t="s">
        <v>248</v>
      </c>
      <c r="I134" s="9" t="s">
        <v>247</v>
      </c>
      <c r="J134" s="9" t="s">
        <v>248</v>
      </c>
      <c r="K134" s="10" t="str">
        <f>VLOOKUP($C134,[1]Страны!$C$4:$M$215,9,0)</f>
        <v>Да</v>
      </c>
      <c r="L134" s="10" t="str">
        <f>VLOOKUP($C134,[1]Страны!$C$4:$M$215,10,0)</f>
        <v>Да</v>
      </c>
      <c r="M134" s="10"/>
    </row>
    <row r="135" spans="1:13" ht="14.4" customHeight="1" x14ac:dyDescent="0.35">
      <c r="A135" s="6" t="s">
        <v>4</v>
      </c>
      <c r="B135" s="10">
        <v>131</v>
      </c>
      <c r="C135" s="10" t="s">
        <v>140</v>
      </c>
      <c r="D135" s="10" t="s">
        <v>219</v>
      </c>
      <c r="E135" s="9" t="s">
        <v>220</v>
      </c>
      <c r="F135" s="10" t="s">
        <v>248</v>
      </c>
      <c r="G135" s="10" t="s">
        <v>248</v>
      </c>
      <c r="H135" s="10" t="s">
        <v>248</v>
      </c>
      <c r="I135" s="10" t="s">
        <v>248</v>
      </c>
      <c r="J135" s="10" t="s">
        <v>248</v>
      </c>
      <c r="K135" s="10" t="str">
        <f>VLOOKUP($C135,[1]Страны!$C$4:$M$215,9,0)</f>
        <v>Нет</v>
      </c>
      <c r="L135" s="10" t="str">
        <f>VLOOKUP($C135,[1]Страны!$C$4:$M$215,10,0)</f>
        <v>Нет</v>
      </c>
      <c r="M135" s="10"/>
    </row>
    <row r="136" spans="1:13" ht="14.4" customHeight="1" x14ac:dyDescent="0.35">
      <c r="A136" s="4" t="s">
        <v>4</v>
      </c>
      <c r="B136" s="10">
        <v>132</v>
      </c>
      <c r="C136" s="10" t="s">
        <v>136</v>
      </c>
      <c r="D136" s="10" t="s">
        <v>224</v>
      </c>
      <c r="E136" s="10" t="s">
        <v>218</v>
      </c>
      <c r="F136" s="10" t="s">
        <v>248</v>
      </c>
      <c r="G136" s="10" t="s">
        <v>248</v>
      </c>
      <c r="H136" s="10" t="s">
        <v>248</v>
      </c>
      <c r="I136" s="10" t="s">
        <v>247</v>
      </c>
      <c r="J136" s="10" t="s">
        <v>248</v>
      </c>
      <c r="K136" s="10" t="str">
        <f>VLOOKUP($C136,[1]Страны!$C$4:$M$215,9,0)</f>
        <v>Да</v>
      </c>
      <c r="L136" s="10" t="str">
        <f>VLOOKUP($C136,[1]Страны!$C$4:$M$215,10,0)</f>
        <v>Да</v>
      </c>
      <c r="M136" s="16"/>
    </row>
    <row r="137" spans="1:13" ht="14.4" customHeight="1" x14ac:dyDescent="0.35">
      <c r="A137" s="6" t="s">
        <v>4</v>
      </c>
      <c r="B137" s="10">
        <v>133</v>
      </c>
      <c r="C137" s="10" t="s">
        <v>134</v>
      </c>
      <c r="D137" s="10" t="s">
        <v>219</v>
      </c>
      <c r="E137" s="9" t="s">
        <v>220</v>
      </c>
      <c r="F137" s="10" t="s">
        <v>248</v>
      </c>
      <c r="G137" s="10" t="s">
        <v>248</v>
      </c>
      <c r="H137" s="10" t="s">
        <v>248</v>
      </c>
      <c r="I137" s="10" t="s">
        <v>248</v>
      </c>
      <c r="J137" s="10" t="s">
        <v>248</v>
      </c>
      <c r="K137" s="10" t="str">
        <f>VLOOKUP($C137,[1]Страны!$C$4:$M$215,9,0)</f>
        <v>Нет</v>
      </c>
      <c r="L137" s="10" t="str">
        <f>VLOOKUP($C137,[1]Страны!$C$4:$M$215,10,0)</f>
        <v>Нет</v>
      </c>
      <c r="M137" s="10"/>
    </row>
    <row r="138" spans="1:13" x14ac:dyDescent="0.35">
      <c r="A138" s="4" t="s">
        <v>209</v>
      </c>
      <c r="B138" s="10">
        <v>134</v>
      </c>
      <c r="C138" s="10" t="s">
        <v>141</v>
      </c>
      <c r="D138" s="10" t="s">
        <v>225</v>
      </c>
      <c r="E138" s="10" t="s">
        <v>242</v>
      </c>
      <c r="F138" s="15" t="s">
        <v>247</v>
      </c>
      <c r="G138" s="15" t="s">
        <v>247</v>
      </c>
      <c r="H138" s="15" t="s">
        <v>247</v>
      </c>
      <c r="I138" s="15" t="s">
        <v>247</v>
      </c>
      <c r="J138" s="15" t="s">
        <v>248</v>
      </c>
      <c r="K138" s="10" t="str">
        <f>VLOOKUP($C138,[1]Страны!$C$4:$M$215,9,0)</f>
        <v>Да</v>
      </c>
      <c r="L138" s="10" t="str">
        <f>VLOOKUP($C138,[1]Страны!$C$4:$M$215,10,0)</f>
        <v>Да</v>
      </c>
      <c r="M138" s="16"/>
    </row>
    <row r="139" spans="1:13" ht="14.4" customHeight="1" x14ac:dyDescent="0.35">
      <c r="A139" s="4" t="s">
        <v>212</v>
      </c>
      <c r="B139" s="10">
        <v>135</v>
      </c>
      <c r="C139" s="10" t="s">
        <v>188</v>
      </c>
      <c r="D139" s="10" t="s">
        <v>256</v>
      </c>
      <c r="E139" s="10" t="s">
        <v>218</v>
      </c>
      <c r="F139" s="9" t="s">
        <v>247</v>
      </c>
      <c r="G139" s="9" t="s">
        <v>248</v>
      </c>
      <c r="H139" s="9" t="s">
        <v>247</v>
      </c>
      <c r="I139" s="9" t="s">
        <v>247</v>
      </c>
      <c r="J139" s="9" t="s">
        <v>247</v>
      </c>
      <c r="K139" s="10" t="str">
        <f>VLOOKUP($C139,[1]Страны!$C$4:$M$215,9,0)</f>
        <v>Да</v>
      </c>
      <c r="L139" s="10" t="str">
        <f>VLOOKUP($C139,[1]Страны!$C$4:$M$215,10,0)</f>
        <v>Да</v>
      </c>
      <c r="M139" s="10"/>
    </row>
    <row r="140" spans="1:13" ht="14.4" customHeight="1" x14ac:dyDescent="0.35">
      <c r="A140" s="4" t="s">
        <v>212</v>
      </c>
      <c r="B140" s="10">
        <v>136</v>
      </c>
      <c r="C140" s="10" t="s">
        <v>128</v>
      </c>
      <c r="D140" s="10" t="s">
        <v>256</v>
      </c>
      <c r="E140" s="10" t="s">
        <v>218</v>
      </c>
      <c r="F140" s="9" t="s">
        <v>247</v>
      </c>
      <c r="G140" s="9" t="s">
        <v>248</v>
      </c>
      <c r="H140" s="9" t="s">
        <v>247</v>
      </c>
      <c r="I140" s="9" t="s">
        <v>247</v>
      </c>
      <c r="J140" s="9" t="s">
        <v>248</v>
      </c>
      <c r="K140" s="10" t="str">
        <f>VLOOKUP($C140,[1]Страны!$C$4:$M$215,9,0)</f>
        <v>Да</v>
      </c>
      <c r="L140" s="10" t="str">
        <f>VLOOKUP($C140,[1]Страны!$C$4:$M$215,10,0)</f>
        <v>Да</v>
      </c>
      <c r="M140" s="14"/>
    </row>
    <row r="141" spans="1:13" ht="14.4" customHeight="1" x14ac:dyDescent="0.35">
      <c r="A141" s="4" t="s">
        <v>210</v>
      </c>
      <c r="B141" s="10">
        <v>137</v>
      </c>
      <c r="C141" s="10" t="s">
        <v>145</v>
      </c>
      <c r="D141" s="10" t="s">
        <v>225</v>
      </c>
      <c r="E141" s="15" t="s">
        <v>218</v>
      </c>
      <c r="F141" s="10" t="s">
        <v>247</v>
      </c>
      <c r="G141" s="10" t="s">
        <v>248</v>
      </c>
      <c r="H141" s="10" t="s">
        <v>247</v>
      </c>
      <c r="I141" s="10" t="s">
        <v>247</v>
      </c>
      <c r="J141" s="10" t="s">
        <v>247</v>
      </c>
      <c r="K141" s="10" t="str">
        <f>VLOOKUP($C141,[1]Страны!$C$4:$M$215,9,0)</f>
        <v>Да</v>
      </c>
      <c r="L141" s="10" t="str">
        <f>VLOOKUP($C141,[1]Страны!$C$4:$M$215,10,0)</f>
        <v>Да</v>
      </c>
      <c r="M141" s="16"/>
    </row>
    <row r="142" spans="1:13" x14ac:dyDescent="0.35">
      <c r="A142" s="6" t="s">
        <v>4</v>
      </c>
      <c r="B142" s="10">
        <v>138</v>
      </c>
      <c r="C142" s="10" t="s">
        <v>144</v>
      </c>
      <c r="D142" s="10" t="s">
        <v>219</v>
      </c>
      <c r="E142" s="9" t="s">
        <v>220</v>
      </c>
      <c r="F142" s="9" t="s">
        <v>248</v>
      </c>
      <c r="G142" s="9" t="s">
        <v>248</v>
      </c>
      <c r="H142" s="9" t="s">
        <v>248</v>
      </c>
      <c r="I142" s="9" t="s">
        <v>248</v>
      </c>
      <c r="J142" s="9" t="s">
        <v>248</v>
      </c>
      <c r="K142" s="10" t="str">
        <f>VLOOKUP($C142,[1]Страны!$C$4:$M$215,9,0)</f>
        <v>Нет</v>
      </c>
      <c r="L142" s="10" t="str">
        <f>VLOOKUP($C142,[1]Страны!$C$4:$M$215,10,0)</f>
        <v>Нет</v>
      </c>
      <c r="M142" s="10"/>
    </row>
    <row r="143" spans="1:13" ht="14.4" customHeight="1" x14ac:dyDescent="0.35">
      <c r="A143" s="6" t="s">
        <v>212</v>
      </c>
      <c r="B143" s="10">
        <v>139</v>
      </c>
      <c r="C143" s="10" t="s">
        <v>70</v>
      </c>
      <c r="D143" s="10" t="s">
        <v>219</v>
      </c>
      <c r="E143" s="9" t="s">
        <v>220</v>
      </c>
      <c r="F143" s="9" t="s">
        <v>248</v>
      </c>
      <c r="G143" s="9" t="s">
        <v>248</v>
      </c>
      <c r="H143" s="9" t="s">
        <v>248</v>
      </c>
      <c r="I143" s="9" t="s">
        <v>248</v>
      </c>
      <c r="J143" s="9" t="s">
        <v>248</v>
      </c>
      <c r="K143" s="10" t="str">
        <f>VLOOKUP($C143,[1]Страны!$C$4:$M$215,9,0)</f>
        <v>Нет</v>
      </c>
      <c r="L143" s="10" t="str">
        <f>VLOOKUP($C143,[1]Страны!$C$4:$M$215,10,0)</f>
        <v>Нет</v>
      </c>
      <c r="M143" s="10"/>
    </row>
    <row r="144" spans="1:13" ht="14.4" customHeight="1" x14ac:dyDescent="0.35">
      <c r="A144" s="13" t="s">
        <v>5</v>
      </c>
      <c r="B144" s="10">
        <v>140</v>
      </c>
      <c r="C144" s="10" t="s">
        <v>146</v>
      </c>
      <c r="D144" s="10" t="s">
        <v>225</v>
      </c>
      <c r="E144" s="10" t="s">
        <v>218</v>
      </c>
      <c r="F144" s="10" t="s">
        <v>248</v>
      </c>
      <c r="G144" s="10" t="s">
        <v>248</v>
      </c>
      <c r="H144" s="10" t="s">
        <v>248</v>
      </c>
      <c r="I144" s="10" t="s">
        <v>247</v>
      </c>
      <c r="J144" s="10" t="s">
        <v>248</v>
      </c>
      <c r="K144" s="10" t="str">
        <f>VLOOKUP($C144,[1]Страны!$C$4:$M$215,9,0)</f>
        <v>Да</v>
      </c>
      <c r="L144" s="10" t="str">
        <f>VLOOKUP($C144,[1]Страны!$C$4:$M$215,10,0)</f>
        <v>Да</v>
      </c>
      <c r="M144" s="10"/>
    </row>
    <row r="145" spans="1:13" ht="14.4" customHeight="1" x14ac:dyDescent="0.35">
      <c r="A145" s="6" t="s">
        <v>4</v>
      </c>
      <c r="B145" s="10">
        <v>141</v>
      </c>
      <c r="C145" s="10" t="s">
        <v>147</v>
      </c>
      <c r="D145" s="10" t="s">
        <v>219</v>
      </c>
      <c r="E145" s="9" t="s">
        <v>220</v>
      </c>
      <c r="F145" s="9" t="s">
        <v>248</v>
      </c>
      <c r="G145" s="9" t="s">
        <v>248</v>
      </c>
      <c r="H145" s="9" t="s">
        <v>248</v>
      </c>
      <c r="I145" s="9" t="s">
        <v>248</v>
      </c>
      <c r="J145" s="9" t="s">
        <v>248</v>
      </c>
      <c r="K145" s="10" t="str">
        <f>VLOOKUP($C145,[1]Страны!$C$4:$M$215,9,0)</f>
        <v>Нет</v>
      </c>
      <c r="L145" s="10" t="str">
        <f>VLOOKUP($C145,[1]Страны!$C$4:$M$215,10,0)</f>
        <v>Нет</v>
      </c>
      <c r="M145" s="10"/>
    </row>
    <row r="146" spans="1:13" ht="14.4" customHeight="1" x14ac:dyDescent="0.35">
      <c r="A146" s="5" t="s">
        <v>5</v>
      </c>
      <c r="B146" s="10">
        <v>142</v>
      </c>
      <c r="C146" s="10" t="s">
        <v>148</v>
      </c>
      <c r="D146" s="10" t="s">
        <v>219</v>
      </c>
      <c r="E146" s="9" t="s">
        <v>220</v>
      </c>
      <c r="F146" s="10" t="s">
        <v>248</v>
      </c>
      <c r="G146" s="10" t="s">
        <v>248</v>
      </c>
      <c r="H146" s="10" t="s">
        <v>248</v>
      </c>
      <c r="I146" s="10" t="s">
        <v>248</v>
      </c>
      <c r="J146" s="10" t="s">
        <v>248</v>
      </c>
      <c r="K146" s="10" t="str">
        <f>VLOOKUP($C146,[1]Страны!$C$4:$M$215,9,0)</f>
        <v>Нет</v>
      </c>
      <c r="L146" s="10" t="str">
        <f>VLOOKUP($C146,[1]Страны!$C$4:$M$215,10,0)</f>
        <v>Нет</v>
      </c>
      <c r="M146" s="10"/>
    </row>
    <row r="147" spans="1:13" ht="14.4" customHeight="1" x14ac:dyDescent="0.35">
      <c r="A147" s="13" t="s">
        <v>5</v>
      </c>
      <c r="B147" s="10">
        <v>143</v>
      </c>
      <c r="C147" s="15" t="s">
        <v>149</v>
      </c>
      <c r="D147" s="10" t="s">
        <v>231</v>
      </c>
      <c r="E147" s="10" t="s">
        <v>218</v>
      </c>
      <c r="F147" s="10" t="s">
        <v>247</v>
      </c>
      <c r="G147" s="10" t="s">
        <v>248</v>
      </c>
      <c r="H147" s="10" t="s">
        <v>247</v>
      </c>
      <c r="I147" s="10" t="s">
        <v>247</v>
      </c>
      <c r="J147" s="10" t="s">
        <v>247</v>
      </c>
      <c r="K147" s="10" t="str">
        <f>VLOOKUP($C147,[1]Страны!$C$4:$M$215,9,0)</f>
        <v>Да</v>
      </c>
      <c r="L147" s="10" t="str">
        <f>VLOOKUP($C147,[1]Страны!$C$4:$M$215,10,0)</f>
        <v>Да</v>
      </c>
      <c r="M147" s="15"/>
    </row>
    <row r="148" spans="1:13" ht="14.4" customHeight="1" x14ac:dyDescent="0.35">
      <c r="A148" s="6" t="s">
        <v>209</v>
      </c>
      <c r="B148" s="10">
        <v>144</v>
      </c>
      <c r="C148" s="10" t="s">
        <v>151</v>
      </c>
      <c r="D148" s="10" t="s">
        <v>219</v>
      </c>
      <c r="E148" s="9" t="s">
        <v>220</v>
      </c>
      <c r="F148" s="10" t="s">
        <v>248</v>
      </c>
      <c r="G148" s="10" t="s">
        <v>248</v>
      </c>
      <c r="H148" s="10" t="s">
        <v>248</v>
      </c>
      <c r="I148" s="10" t="s">
        <v>248</v>
      </c>
      <c r="J148" s="10" t="s">
        <v>248</v>
      </c>
      <c r="K148" s="10" t="str">
        <f>VLOOKUP($C148,[1]Страны!$C$4:$M$215,9,0)</f>
        <v>Нет</v>
      </c>
      <c r="L148" s="10" t="str">
        <f>VLOOKUP($C148,[1]Страны!$C$4:$M$215,10,0)</f>
        <v>Нет</v>
      </c>
      <c r="M148" s="16"/>
    </row>
    <row r="149" spans="1:13" ht="14.4" customHeight="1" x14ac:dyDescent="0.35">
      <c r="A149" s="4" t="s">
        <v>209</v>
      </c>
      <c r="B149" s="10">
        <v>145</v>
      </c>
      <c r="C149" s="10" t="s">
        <v>152</v>
      </c>
      <c r="D149" s="10" t="s">
        <v>224</v>
      </c>
      <c r="E149" s="10" t="s">
        <v>242</v>
      </c>
      <c r="F149" s="10" t="s">
        <v>247</v>
      </c>
      <c r="G149" s="10" t="s">
        <v>247</v>
      </c>
      <c r="H149" s="10" t="s">
        <v>247</v>
      </c>
      <c r="I149" s="10" t="s">
        <v>247</v>
      </c>
      <c r="J149" s="10" t="s">
        <v>247</v>
      </c>
      <c r="K149" s="10" t="str">
        <f>VLOOKUP($C149,[1]Страны!$C$4:$M$215,9,0)</f>
        <v>Да</v>
      </c>
      <c r="L149" s="10" t="str">
        <f>VLOOKUP($C149,[1]Страны!$C$4:$M$215,10,0)</f>
        <v>Да</v>
      </c>
      <c r="M149" s="16"/>
    </row>
    <row r="150" spans="1:13" ht="14.4" customHeight="1" x14ac:dyDescent="0.35">
      <c r="A150" s="13" t="s">
        <v>5</v>
      </c>
      <c r="B150" s="10">
        <v>146</v>
      </c>
      <c r="C150" s="10" t="s">
        <v>155</v>
      </c>
      <c r="D150" s="10" t="s">
        <v>226</v>
      </c>
      <c r="E150" s="10" t="s">
        <v>218</v>
      </c>
      <c r="F150" s="9" t="s">
        <v>247</v>
      </c>
      <c r="G150" s="9" t="s">
        <v>248</v>
      </c>
      <c r="H150" s="9" t="s">
        <v>247</v>
      </c>
      <c r="I150" s="9" t="s">
        <v>247</v>
      </c>
      <c r="J150" s="9" t="s">
        <v>247</v>
      </c>
      <c r="K150" s="10" t="str">
        <f>VLOOKUP($C150,[1]Страны!$C$4:$M$215,9,0)</f>
        <v>Да</v>
      </c>
      <c r="L150" s="10" t="str">
        <f>VLOOKUP($C150,[1]Страны!$C$4:$M$215,10,0)</f>
        <v>Да</v>
      </c>
      <c r="M150" s="14"/>
    </row>
    <row r="151" spans="1:13" ht="14.4" customHeight="1" x14ac:dyDescent="0.35">
      <c r="A151" s="13" t="s">
        <v>0</v>
      </c>
      <c r="B151" s="10">
        <v>147</v>
      </c>
      <c r="C151" s="10" t="s">
        <v>158</v>
      </c>
      <c r="D151" s="10" t="s">
        <v>226</v>
      </c>
      <c r="E151" s="10" t="s">
        <v>218</v>
      </c>
      <c r="F151" s="10" t="s">
        <v>248</v>
      </c>
      <c r="G151" s="10" t="s">
        <v>248</v>
      </c>
      <c r="H151" s="10" t="s">
        <v>248</v>
      </c>
      <c r="I151" s="10" t="s">
        <v>247</v>
      </c>
      <c r="J151" s="10" t="s">
        <v>248</v>
      </c>
      <c r="K151" s="10" t="str">
        <f>VLOOKUP($C151,[1]Страны!$C$4:$M$215,9,0)</f>
        <v>Да</v>
      </c>
      <c r="L151" s="10" t="str">
        <f>VLOOKUP($C151,[1]Страны!$C$4:$M$215,10,0)</f>
        <v>Да</v>
      </c>
      <c r="M151" s="10"/>
    </row>
    <row r="152" spans="1:13" ht="14.4" customHeight="1" x14ac:dyDescent="0.35">
      <c r="A152" s="4" t="s">
        <v>209</v>
      </c>
      <c r="B152" s="10">
        <v>148</v>
      </c>
      <c r="C152" s="10" t="s">
        <v>157</v>
      </c>
      <c r="D152" s="10" t="s">
        <v>226</v>
      </c>
      <c r="E152" s="10" t="s">
        <v>242</v>
      </c>
      <c r="F152" s="9" t="s">
        <v>247</v>
      </c>
      <c r="G152" s="9" t="s">
        <v>247</v>
      </c>
      <c r="H152" s="9" t="s">
        <v>247</v>
      </c>
      <c r="I152" s="9" t="s">
        <v>247</v>
      </c>
      <c r="J152" s="9" t="s">
        <v>247</v>
      </c>
      <c r="K152" s="10" t="str">
        <f>VLOOKUP($C152,[1]Страны!$C$4:$M$215,9,0)</f>
        <v>Да</v>
      </c>
      <c r="L152" s="10" t="str">
        <f>VLOOKUP($C152,[1]Страны!$C$4:$M$215,10,0)</f>
        <v>Да</v>
      </c>
      <c r="M152" s="14"/>
    </row>
    <row r="153" spans="1:13" ht="14.4" customHeight="1" x14ac:dyDescent="0.35">
      <c r="A153" s="13" t="s">
        <v>5</v>
      </c>
      <c r="B153" s="10">
        <v>149</v>
      </c>
      <c r="C153" s="10" t="s">
        <v>237</v>
      </c>
      <c r="D153" s="10" t="s">
        <v>224</v>
      </c>
      <c r="E153" s="10" t="s">
        <v>218</v>
      </c>
      <c r="F153" s="15" t="s">
        <v>248</v>
      </c>
      <c r="G153" s="15" t="s">
        <v>248</v>
      </c>
      <c r="H153" s="15" t="s">
        <v>248</v>
      </c>
      <c r="I153" s="9" t="s">
        <v>247</v>
      </c>
      <c r="J153" s="15" t="s">
        <v>248</v>
      </c>
      <c r="K153" s="10" t="str">
        <f>VLOOKUP($C153,[1]Страны!$C$4:$M$215,9,0)</f>
        <v>Нет</v>
      </c>
      <c r="L153" s="10" t="str">
        <f>VLOOKUP($C153,[1]Страны!$C$4:$M$215,10,0)</f>
        <v>Нет</v>
      </c>
      <c r="M153" s="10"/>
    </row>
    <row r="154" spans="1:13" ht="14.4" customHeight="1" x14ac:dyDescent="0.35">
      <c r="A154" s="6" t="s">
        <v>4</v>
      </c>
      <c r="B154" s="10">
        <v>150</v>
      </c>
      <c r="C154" s="10" t="s">
        <v>203</v>
      </c>
      <c r="D154" s="10" t="s">
        <v>219</v>
      </c>
      <c r="E154" s="9" t="s">
        <v>220</v>
      </c>
      <c r="F154" s="15" t="s">
        <v>248</v>
      </c>
      <c r="G154" s="15" t="s">
        <v>248</v>
      </c>
      <c r="H154" s="15" t="s">
        <v>248</v>
      </c>
      <c r="I154" s="15" t="s">
        <v>248</v>
      </c>
      <c r="J154" s="15" t="s">
        <v>248</v>
      </c>
      <c r="K154" s="10" t="str">
        <f>VLOOKUP($C154,[1]Страны!$C$4:$M$215,9,0)</f>
        <v>Нет</v>
      </c>
      <c r="L154" s="10" t="str">
        <f>VLOOKUP($C154,[1]Страны!$C$4:$M$215,10,0)</f>
        <v>Нет</v>
      </c>
      <c r="M154" s="10"/>
    </row>
    <row r="155" spans="1:13" ht="14.4" customHeight="1" x14ac:dyDescent="0.35">
      <c r="A155" s="4" t="s">
        <v>209</v>
      </c>
      <c r="B155" s="10">
        <v>151</v>
      </c>
      <c r="C155" s="10" t="s">
        <v>162</v>
      </c>
      <c r="D155" s="10" t="s">
        <v>223</v>
      </c>
      <c r="E155" s="10" t="s">
        <v>242</v>
      </c>
      <c r="F155" s="10" t="s">
        <v>247</v>
      </c>
      <c r="G155" s="10" t="s">
        <v>248</v>
      </c>
      <c r="H155" s="10" t="s">
        <v>247</v>
      </c>
      <c r="I155" s="10" t="s">
        <v>247</v>
      </c>
      <c r="J155" s="10" t="s">
        <v>247</v>
      </c>
      <c r="K155" s="10" t="str">
        <f>VLOOKUP($C155,[1]Страны!$C$4:$M$215,9,0)</f>
        <v>Да</v>
      </c>
      <c r="L155" s="10" t="str">
        <f>VLOOKUP($C155,[1]Страны!$C$4:$M$215,10,0)</f>
        <v>Да</v>
      </c>
      <c r="M155" s="16"/>
    </row>
    <row r="156" spans="1:13" ht="14.4" customHeight="1" x14ac:dyDescent="0.35">
      <c r="A156" s="5" t="s">
        <v>0</v>
      </c>
      <c r="B156" s="10">
        <v>152</v>
      </c>
      <c r="C156" s="10" t="s">
        <v>163</v>
      </c>
      <c r="D156" s="10" t="s">
        <v>219</v>
      </c>
      <c r="E156" s="9" t="s">
        <v>220</v>
      </c>
      <c r="F156" s="9" t="s">
        <v>248</v>
      </c>
      <c r="G156" s="9" t="s">
        <v>248</v>
      </c>
      <c r="H156" s="9" t="s">
        <v>248</v>
      </c>
      <c r="I156" s="9" t="s">
        <v>248</v>
      </c>
      <c r="J156" s="9" t="s">
        <v>248</v>
      </c>
      <c r="K156" s="10" t="str">
        <f>VLOOKUP($C156,[1]Страны!$C$4:$M$215,9,0)</f>
        <v>Нет</v>
      </c>
      <c r="L156" s="10" t="str">
        <f>VLOOKUP($C156,[1]Страны!$C$4:$M$215,10,0)</f>
        <v>Нет</v>
      </c>
      <c r="M156" s="10"/>
    </row>
    <row r="157" spans="1:13" ht="14.4" customHeight="1" x14ac:dyDescent="0.35">
      <c r="A157" s="4" t="s">
        <v>212</v>
      </c>
      <c r="B157" s="10">
        <v>153</v>
      </c>
      <c r="C157" s="10" t="s">
        <v>164</v>
      </c>
      <c r="D157" s="10" t="s">
        <v>256</v>
      </c>
      <c r="E157" s="15" t="s">
        <v>218</v>
      </c>
      <c r="F157" s="15" t="s">
        <v>247</v>
      </c>
      <c r="G157" s="15" t="s">
        <v>248</v>
      </c>
      <c r="H157" s="15" t="s">
        <v>247</v>
      </c>
      <c r="I157" s="15" t="s">
        <v>247</v>
      </c>
      <c r="J157" s="15" t="s">
        <v>248</v>
      </c>
      <c r="K157" s="10" t="str">
        <f>VLOOKUP($C157,[1]Страны!$C$4:$M$215,9,0)</f>
        <v>Да</v>
      </c>
      <c r="L157" s="10" t="str">
        <f>VLOOKUP($C157,[1]Страны!$C$4:$M$215,10,0)</f>
        <v>Да</v>
      </c>
      <c r="M157" s="16"/>
    </row>
    <row r="158" spans="1:13" ht="14.4" customHeight="1" x14ac:dyDescent="0.35">
      <c r="A158" s="4" t="s">
        <v>209</v>
      </c>
      <c r="B158" s="10">
        <v>154</v>
      </c>
      <c r="C158" s="10" t="s">
        <v>195</v>
      </c>
      <c r="D158" s="10" t="s">
        <v>225</v>
      </c>
      <c r="E158" s="10" t="s">
        <v>218</v>
      </c>
      <c r="F158" s="9" t="s">
        <v>247</v>
      </c>
      <c r="G158" s="9" t="s">
        <v>248</v>
      </c>
      <c r="H158" s="9" t="s">
        <v>247</v>
      </c>
      <c r="I158" s="9" t="s">
        <v>247</v>
      </c>
      <c r="J158" s="9" t="s">
        <v>247</v>
      </c>
      <c r="K158" s="10" t="str">
        <f>VLOOKUP($C158,[1]Страны!$C$4:$M$215,9,0)</f>
        <v>Да</v>
      </c>
      <c r="L158" s="10" t="str">
        <f>VLOOKUP($C158,[1]Страны!$C$4:$M$215,10,0)</f>
        <v>Да</v>
      </c>
      <c r="M158" s="10"/>
    </row>
    <row r="159" spans="1:13" ht="14.4" customHeight="1" x14ac:dyDescent="0.35">
      <c r="A159" s="13" t="s">
        <v>0</v>
      </c>
      <c r="B159" s="10">
        <v>155</v>
      </c>
      <c r="C159" s="15" t="s">
        <v>167</v>
      </c>
      <c r="D159" s="10" t="s">
        <v>224</v>
      </c>
      <c r="E159" s="9" t="s">
        <v>218</v>
      </c>
      <c r="F159" s="9" t="s">
        <v>247</v>
      </c>
      <c r="G159" s="9" t="s">
        <v>248</v>
      </c>
      <c r="H159" s="9" t="s">
        <v>247</v>
      </c>
      <c r="I159" s="9" t="s">
        <v>247</v>
      </c>
      <c r="J159" s="9" t="s">
        <v>247</v>
      </c>
      <c r="K159" s="10" t="str">
        <f>VLOOKUP($C159,[1]Страны!$C$4:$M$215,9,0)</f>
        <v>Да</v>
      </c>
      <c r="L159" s="10" t="str">
        <f>VLOOKUP($C159,[1]Страны!$C$4:$M$215,10,0)</f>
        <v>Да</v>
      </c>
      <c r="M159" s="15"/>
    </row>
    <row r="160" spans="1:13" ht="14.4" customHeight="1" x14ac:dyDescent="0.35">
      <c r="A160" s="13" t="s">
        <v>0</v>
      </c>
      <c r="B160" s="10">
        <v>156</v>
      </c>
      <c r="C160" s="10" t="s">
        <v>165</v>
      </c>
      <c r="D160" s="10" t="s">
        <v>222</v>
      </c>
      <c r="E160" s="15" t="s">
        <v>218</v>
      </c>
      <c r="F160" s="10" t="s">
        <v>248</v>
      </c>
      <c r="G160" s="10" t="s">
        <v>248</v>
      </c>
      <c r="H160" s="10" t="s">
        <v>248</v>
      </c>
      <c r="I160" s="10" t="s">
        <v>247</v>
      </c>
      <c r="J160" s="10" t="s">
        <v>248</v>
      </c>
      <c r="K160" s="10" t="str">
        <f>VLOOKUP($C160,[1]Страны!$C$4:$M$215,9,0)</f>
        <v>Да</v>
      </c>
      <c r="L160" s="10" t="str">
        <f>VLOOKUP($C160,[1]Страны!$C$4:$M$215,10,0)</f>
        <v>Да</v>
      </c>
      <c r="M160" s="10"/>
    </row>
    <row r="161" spans="1:13" ht="14.4" customHeight="1" x14ac:dyDescent="0.35">
      <c r="A161" s="5" t="s">
        <v>5</v>
      </c>
      <c r="B161" s="10">
        <v>157</v>
      </c>
      <c r="C161" s="10" t="s">
        <v>161</v>
      </c>
      <c r="D161" s="10" t="s">
        <v>219</v>
      </c>
      <c r="E161" s="9" t="s">
        <v>220</v>
      </c>
      <c r="F161" s="9" t="s">
        <v>248</v>
      </c>
      <c r="G161" s="9" t="s">
        <v>248</v>
      </c>
      <c r="H161" s="9" t="s">
        <v>248</v>
      </c>
      <c r="I161" s="9" t="s">
        <v>248</v>
      </c>
      <c r="J161" s="9" t="s">
        <v>248</v>
      </c>
      <c r="K161" s="10" t="str">
        <f>VLOOKUP($C161,[1]Страны!$C$4:$M$215,9,0)</f>
        <v>Нет</v>
      </c>
      <c r="L161" s="10" t="str">
        <f>VLOOKUP($C161,[1]Страны!$C$4:$M$215,10,0)</f>
        <v>Нет</v>
      </c>
      <c r="M161" s="10"/>
    </row>
    <row r="162" spans="1:13" ht="14.4" customHeight="1" x14ac:dyDescent="0.35">
      <c r="A162" s="5" t="s">
        <v>5</v>
      </c>
      <c r="B162" s="10">
        <v>158</v>
      </c>
      <c r="C162" s="10" t="s">
        <v>159</v>
      </c>
      <c r="D162" s="10" t="s">
        <v>219</v>
      </c>
      <c r="E162" s="9" t="s">
        <v>220</v>
      </c>
      <c r="F162" s="10" t="s">
        <v>248</v>
      </c>
      <c r="G162" s="10" t="s">
        <v>248</v>
      </c>
      <c r="H162" s="10" t="s">
        <v>248</v>
      </c>
      <c r="I162" s="10" t="s">
        <v>248</v>
      </c>
      <c r="J162" s="10" t="s">
        <v>248</v>
      </c>
      <c r="K162" s="10" t="str">
        <f>VLOOKUP($C162,[1]Страны!$C$4:$M$215,9,0)</f>
        <v>Нет</v>
      </c>
      <c r="L162" s="10" t="str">
        <f>VLOOKUP($C162,[1]Страны!$C$4:$M$215,10,0)</f>
        <v>Нет</v>
      </c>
      <c r="M162" s="10"/>
    </row>
    <row r="163" spans="1:13" ht="14.4" customHeight="1" x14ac:dyDescent="0.35">
      <c r="A163" s="5" t="s">
        <v>5</v>
      </c>
      <c r="B163" s="10">
        <v>159</v>
      </c>
      <c r="C163" s="10" t="s">
        <v>160</v>
      </c>
      <c r="D163" s="10" t="s">
        <v>219</v>
      </c>
      <c r="E163" s="9" t="s">
        <v>220</v>
      </c>
      <c r="F163" s="10" t="s">
        <v>248</v>
      </c>
      <c r="G163" s="10" t="s">
        <v>248</v>
      </c>
      <c r="H163" s="10" t="s">
        <v>248</v>
      </c>
      <c r="I163" s="10" t="s">
        <v>248</v>
      </c>
      <c r="J163" s="10" t="s">
        <v>248</v>
      </c>
      <c r="K163" s="10" t="str">
        <f>VLOOKUP($C163,[1]Страны!$C$4:$M$215,9,0)</f>
        <v>Нет</v>
      </c>
      <c r="L163" s="10" t="str">
        <f>VLOOKUP($C163,[1]Страны!$C$4:$M$215,10,0)</f>
        <v>Нет</v>
      </c>
      <c r="M163" s="10"/>
    </row>
    <row r="164" spans="1:13" ht="14.4" customHeight="1" x14ac:dyDescent="0.35">
      <c r="A164" s="5" t="s">
        <v>5</v>
      </c>
      <c r="B164" s="10">
        <v>160</v>
      </c>
      <c r="C164" s="10" t="s">
        <v>260</v>
      </c>
      <c r="D164" s="10" t="s">
        <v>219</v>
      </c>
      <c r="E164" s="9" t="s">
        <v>220</v>
      </c>
      <c r="F164" s="10" t="s">
        <v>248</v>
      </c>
      <c r="G164" s="10" t="s">
        <v>248</v>
      </c>
      <c r="H164" s="10" t="s">
        <v>248</v>
      </c>
      <c r="I164" s="10" t="s">
        <v>248</v>
      </c>
      <c r="J164" s="10" t="s">
        <v>248</v>
      </c>
      <c r="K164" s="10" t="s">
        <v>248</v>
      </c>
      <c r="L164" s="10" t="s">
        <v>248</v>
      </c>
      <c r="M164" s="10"/>
    </row>
    <row r="165" spans="1:13" ht="14.4" customHeight="1" x14ac:dyDescent="0.35">
      <c r="A165" s="4" t="s">
        <v>209</v>
      </c>
      <c r="B165" s="10">
        <v>161</v>
      </c>
      <c r="C165" s="10" t="s">
        <v>166</v>
      </c>
      <c r="D165" s="10" t="s">
        <v>255</v>
      </c>
      <c r="E165" s="10" t="s">
        <v>218</v>
      </c>
      <c r="F165" s="10" t="s">
        <v>247</v>
      </c>
      <c r="G165" s="10" t="s">
        <v>248</v>
      </c>
      <c r="H165" s="10" t="s">
        <v>247</v>
      </c>
      <c r="I165" s="10" t="s">
        <v>247</v>
      </c>
      <c r="J165" s="10" t="s">
        <v>247</v>
      </c>
      <c r="K165" s="10" t="str">
        <f>VLOOKUP($C165,[1]Страны!$C$4:$M$215,9,0)</f>
        <v>Да</v>
      </c>
      <c r="L165" s="10" t="str">
        <f>VLOOKUP($C165,[1]Страны!$C$4:$M$215,10,0)</f>
        <v>Да</v>
      </c>
      <c r="M165" s="10"/>
    </row>
    <row r="166" spans="1:13" ht="14.4" customHeight="1" x14ac:dyDescent="0.35">
      <c r="A166" s="4" t="s">
        <v>210</v>
      </c>
      <c r="B166" s="10">
        <v>162</v>
      </c>
      <c r="C166" s="10" t="s">
        <v>169</v>
      </c>
      <c r="D166" s="10" t="s">
        <v>256</v>
      </c>
      <c r="E166" s="10" t="s">
        <v>218</v>
      </c>
      <c r="F166" s="9" t="s">
        <v>247</v>
      </c>
      <c r="G166" s="9" t="s">
        <v>248</v>
      </c>
      <c r="H166" s="9" t="s">
        <v>247</v>
      </c>
      <c r="I166" s="9" t="s">
        <v>247</v>
      </c>
      <c r="J166" s="9" t="s">
        <v>247</v>
      </c>
      <c r="K166" s="10" t="str">
        <f>VLOOKUP($C166,[1]Страны!$C$4:$M$215,9,0)</f>
        <v>Да</v>
      </c>
      <c r="L166" s="10" t="str">
        <f>VLOOKUP($C166,[1]Страны!$C$4:$M$215,10,0)</f>
        <v>Да</v>
      </c>
      <c r="M166" s="10"/>
    </row>
    <row r="167" spans="1:13" ht="14.4" customHeight="1" x14ac:dyDescent="0.35">
      <c r="A167" s="6" t="s">
        <v>212</v>
      </c>
      <c r="B167" s="10">
        <v>163</v>
      </c>
      <c r="C167" s="10" t="s">
        <v>182</v>
      </c>
      <c r="D167" s="10" t="s">
        <v>219</v>
      </c>
      <c r="E167" s="9" t="s">
        <v>220</v>
      </c>
      <c r="F167" s="9" t="s">
        <v>248</v>
      </c>
      <c r="G167" s="9" t="s">
        <v>248</v>
      </c>
      <c r="H167" s="9" t="s">
        <v>248</v>
      </c>
      <c r="I167" s="9" t="s">
        <v>248</v>
      </c>
      <c r="J167" s="9" t="s">
        <v>248</v>
      </c>
      <c r="K167" s="10" t="str">
        <f>VLOOKUP($C167,[1]Страны!$C$4:$M$215,9,0)</f>
        <v>Нет</v>
      </c>
      <c r="L167" s="10" t="str">
        <f>VLOOKUP($C167,[1]Страны!$C$4:$M$215,10,0)</f>
        <v>Нет</v>
      </c>
      <c r="M167" s="10"/>
    </row>
    <row r="168" spans="1:13" ht="14.4" customHeight="1" x14ac:dyDescent="0.35">
      <c r="A168" s="4" t="s">
        <v>209</v>
      </c>
      <c r="B168" s="10">
        <v>164</v>
      </c>
      <c r="C168" s="10" t="s">
        <v>170</v>
      </c>
      <c r="D168" s="10" t="s">
        <v>226</v>
      </c>
      <c r="E168" s="10" t="s">
        <v>242</v>
      </c>
      <c r="F168" s="9" t="s">
        <v>247</v>
      </c>
      <c r="G168" s="9" t="s">
        <v>247</v>
      </c>
      <c r="H168" s="9" t="s">
        <v>247</v>
      </c>
      <c r="I168" s="9" t="s">
        <v>247</v>
      </c>
      <c r="J168" s="9" t="s">
        <v>247</v>
      </c>
      <c r="K168" s="10" t="str">
        <f>VLOOKUP($C168,[1]Страны!$C$4:$M$215,9,0)</f>
        <v>Да</v>
      </c>
      <c r="L168" s="10" t="str">
        <f>VLOOKUP($C168,[1]Страны!$C$4:$M$215,10,0)</f>
        <v>Да</v>
      </c>
      <c r="M168" s="14"/>
    </row>
    <row r="169" spans="1:13" ht="14.4" customHeight="1" x14ac:dyDescent="0.35">
      <c r="A169" s="4" t="s">
        <v>209</v>
      </c>
      <c r="B169" s="10">
        <v>165</v>
      </c>
      <c r="C169" s="10" t="s">
        <v>172</v>
      </c>
      <c r="D169" s="10" t="s">
        <v>226</v>
      </c>
      <c r="E169" s="10" t="s">
        <v>242</v>
      </c>
      <c r="F169" s="9" t="s">
        <v>247</v>
      </c>
      <c r="G169" s="9" t="s">
        <v>247</v>
      </c>
      <c r="H169" s="9" t="s">
        <v>247</v>
      </c>
      <c r="I169" s="9" t="s">
        <v>247</v>
      </c>
      <c r="J169" s="9" t="s">
        <v>248</v>
      </c>
      <c r="K169" s="10" t="str">
        <f>VLOOKUP($C169,[1]Страны!$C$4:$M$215,9,0)</f>
        <v>Да</v>
      </c>
      <c r="L169" s="10" t="str">
        <f>VLOOKUP($C169,[1]Страны!$C$4:$M$215,10,0)</f>
        <v>Да</v>
      </c>
      <c r="M169" s="16"/>
    </row>
    <row r="170" spans="1:13" ht="28" customHeight="1" x14ac:dyDescent="0.35">
      <c r="A170" s="22" t="s">
        <v>211</v>
      </c>
      <c r="B170" s="21">
        <v>166</v>
      </c>
      <c r="C170" s="21" t="s">
        <v>236</v>
      </c>
      <c r="D170" s="21" t="s">
        <v>222</v>
      </c>
      <c r="E170" s="21" t="s">
        <v>267</v>
      </c>
      <c r="F170" s="21" t="s">
        <v>266</v>
      </c>
      <c r="G170" s="23" t="s">
        <v>248</v>
      </c>
      <c r="H170" s="21" t="s">
        <v>266</v>
      </c>
      <c r="I170" s="21" t="s">
        <v>266</v>
      </c>
      <c r="J170" s="23" t="s">
        <v>248</v>
      </c>
      <c r="K170" s="21" t="str">
        <f>VLOOKUP($C170,[1]Страны!$C$4:$M$215,9,0)</f>
        <v>Да</v>
      </c>
      <c r="L170" s="21" t="s">
        <v>248</v>
      </c>
      <c r="M170" s="20" t="s">
        <v>268</v>
      </c>
    </row>
    <row r="171" spans="1:13" ht="14.4" customHeight="1" x14ac:dyDescent="0.35">
      <c r="A171" s="6" t="s">
        <v>4</v>
      </c>
      <c r="B171" s="10">
        <v>167</v>
      </c>
      <c r="C171" s="10" t="s">
        <v>29</v>
      </c>
      <c r="D171" s="10" t="s">
        <v>219</v>
      </c>
      <c r="E171" s="9" t="s">
        <v>220</v>
      </c>
      <c r="F171" s="15" t="s">
        <v>248</v>
      </c>
      <c r="G171" s="15" t="s">
        <v>248</v>
      </c>
      <c r="H171" s="15" t="s">
        <v>248</v>
      </c>
      <c r="I171" s="15" t="s">
        <v>248</v>
      </c>
      <c r="J171" s="15" t="s">
        <v>248</v>
      </c>
      <c r="K171" s="10" t="str">
        <f>VLOOKUP($C171,[1]Страны!$C$4:$M$215,9,0)</f>
        <v>Нет</v>
      </c>
      <c r="L171" s="10" t="str">
        <f>VLOOKUP($C171,[1]Страны!$C$4:$M$215,10,0)</f>
        <v>Нет</v>
      </c>
      <c r="M171" s="10"/>
    </row>
    <row r="172" spans="1:13" ht="14.4" customHeight="1" x14ac:dyDescent="0.35">
      <c r="A172" s="5" t="s">
        <v>0</v>
      </c>
      <c r="B172" s="10">
        <v>168</v>
      </c>
      <c r="C172" s="10" t="s">
        <v>173</v>
      </c>
      <c r="D172" s="10" t="s">
        <v>219</v>
      </c>
      <c r="E172" s="9" t="s">
        <v>220</v>
      </c>
      <c r="F172" s="15" t="s">
        <v>248</v>
      </c>
      <c r="G172" s="15" t="s">
        <v>248</v>
      </c>
      <c r="H172" s="15" t="s">
        <v>248</v>
      </c>
      <c r="I172" s="15" t="s">
        <v>248</v>
      </c>
      <c r="J172" s="15" t="s">
        <v>248</v>
      </c>
      <c r="K172" s="10" t="str">
        <f>VLOOKUP($C172,[1]Страны!$C$4:$M$215,9,0)</f>
        <v>Нет</v>
      </c>
      <c r="L172" s="10" t="str">
        <f>VLOOKUP($C172,[1]Страны!$C$4:$M$215,10,0)</f>
        <v>Нет</v>
      </c>
      <c r="M172" s="10"/>
    </row>
    <row r="173" spans="1:13" ht="14.4" customHeight="1" x14ac:dyDescent="0.35">
      <c r="A173" s="5" t="s">
        <v>0</v>
      </c>
      <c r="B173" s="10">
        <v>169</v>
      </c>
      <c r="C173" s="10" t="s">
        <v>176</v>
      </c>
      <c r="D173" s="10" t="s">
        <v>219</v>
      </c>
      <c r="E173" s="9" t="s">
        <v>220</v>
      </c>
      <c r="F173" s="15" t="s">
        <v>248</v>
      </c>
      <c r="G173" s="15" t="s">
        <v>248</v>
      </c>
      <c r="H173" s="15" t="s">
        <v>248</v>
      </c>
      <c r="I173" s="15" t="s">
        <v>248</v>
      </c>
      <c r="J173" s="15" t="s">
        <v>248</v>
      </c>
      <c r="K173" s="10" t="str">
        <f>VLOOKUP($C173,[1]Страны!$C$4:$M$215,9,0)</f>
        <v>Нет</v>
      </c>
      <c r="L173" s="10" t="str">
        <f>VLOOKUP($C173,[1]Страны!$C$4:$M$215,10,0)</f>
        <v>Нет</v>
      </c>
      <c r="M173" s="10"/>
    </row>
    <row r="174" spans="1:13" ht="14.4" customHeight="1" x14ac:dyDescent="0.35">
      <c r="A174" s="5" t="s">
        <v>5</v>
      </c>
      <c r="B174" s="10">
        <v>170</v>
      </c>
      <c r="C174" s="10" t="s">
        <v>177</v>
      </c>
      <c r="D174" s="10" t="s">
        <v>219</v>
      </c>
      <c r="E174" s="9" t="s">
        <v>220</v>
      </c>
      <c r="F174" s="9" t="s">
        <v>248</v>
      </c>
      <c r="G174" s="9" t="s">
        <v>248</v>
      </c>
      <c r="H174" s="9" t="s">
        <v>248</v>
      </c>
      <c r="I174" s="9" t="s">
        <v>248</v>
      </c>
      <c r="J174" s="9" t="s">
        <v>248</v>
      </c>
      <c r="K174" s="10" t="str">
        <f>VLOOKUP($C174,[1]Страны!$C$4:$M$215,9,0)</f>
        <v>Нет</v>
      </c>
      <c r="L174" s="10" t="str">
        <f>VLOOKUP($C174,[1]Страны!$C$4:$M$215,10,0)</f>
        <v>Нет</v>
      </c>
      <c r="M174" s="10"/>
    </row>
    <row r="175" spans="1:13" ht="14.4" customHeight="1" x14ac:dyDescent="0.35">
      <c r="A175" s="13" t="s">
        <v>0</v>
      </c>
      <c r="B175" s="10">
        <v>171</v>
      </c>
      <c r="C175" s="10" t="s">
        <v>168</v>
      </c>
      <c r="D175" s="10" t="s">
        <v>221</v>
      </c>
      <c r="E175" s="15" t="s">
        <v>218</v>
      </c>
      <c r="F175" s="9" t="s">
        <v>248</v>
      </c>
      <c r="G175" s="9" t="s">
        <v>248</v>
      </c>
      <c r="H175" s="9" t="s">
        <v>247</v>
      </c>
      <c r="I175" s="9" t="s">
        <v>247</v>
      </c>
      <c r="J175" s="9" t="s">
        <v>248</v>
      </c>
      <c r="K175" s="10" t="str">
        <f>VLOOKUP($C175,[1]Страны!$C$4:$M$215,9,0)</f>
        <v>Да</v>
      </c>
      <c r="L175" s="10" t="str">
        <f>VLOOKUP($C175,[1]Страны!$C$4:$M$215,10,0)</f>
        <v>Да</v>
      </c>
      <c r="M175" s="10"/>
    </row>
    <row r="176" spans="1:13" ht="14.4" customHeight="1" x14ac:dyDescent="0.35">
      <c r="A176" s="4" t="s">
        <v>6</v>
      </c>
      <c r="B176" s="10">
        <v>172</v>
      </c>
      <c r="C176" s="10" t="s">
        <v>183</v>
      </c>
      <c r="D176" s="10" t="s">
        <v>226</v>
      </c>
      <c r="E176" s="15" t="s">
        <v>218</v>
      </c>
      <c r="F176" s="9" t="s">
        <v>247</v>
      </c>
      <c r="G176" s="9" t="s">
        <v>248</v>
      </c>
      <c r="H176" s="9" t="s">
        <v>247</v>
      </c>
      <c r="I176" s="9" t="s">
        <v>247</v>
      </c>
      <c r="J176" s="9" t="s">
        <v>247</v>
      </c>
      <c r="K176" s="10" t="str">
        <f>VLOOKUP($C176,[1]Страны!$C$4:$M$215,9,0)</f>
        <v>Да</v>
      </c>
      <c r="L176" s="10" t="str">
        <f>VLOOKUP($C176,[1]Страны!$C$4:$M$215,10,0)</f>
        <v>Да</v>
      </c>
      <c r="M176" s="10"/>
    </row>
    <row r="177" spans="1:13" ht="14.4" customHeight="1" x14ac:dyDescent="0.35">
      <c r="A177" s="4" t="s">
        <v>210</v>
      </c>
      <c r="B177" s="10">
        <v>173</v>
      </c>
      <c r="C177" s="10" t="s">
        <v>184</v>
      </c>
      <c r="D177" s="10" t="s">
        <v>256</v>
      </c>
      <c r="E177" s="15" t="s">
        <v>218</v>
      </c>
      <c r="F177" s="9" t="s">
        <v>247</v>
      </c>
      <c r="G177" s="9" t="s">
        <v>248</v>
      </c>
      <c r="H177" s="9" t="s">
        <v>247</v>
      </c>
      <c r="I177" s="9" t="s">
        <v>247</v>
      </c>
      <c r="J177" s="9" t="s">
        <v>248</v>
      </c>
      <c r="K177" s="10" t="str">
        <f>VLOOKUP($C177,[1]Страны!$C$4:$M$215,9,0)</f>
        <v>Да</v>
      </c>
      <c r="L177" s="10" t="str">
        <f>VLOOKUP($C177,[1]Страны!$C$4:$M$215,10,0)</f>
        <v>Да</v>
      </c>
      <c r="M177" s="10"/>
    </row>
    <row r="178" spans="1:13" ht="14.4" customHeight="1" x14ac:dyDescent="0.35">
      <c r="A178" s="4" t="s">
        <v>210</v>
      </c>
      <c r="B178" s="10">
        <v>174</v>
      </c>
      <c r="C178" s="15" t="s">
        <v>44</v>
      </c>
      <c r="D178" s="10" t="s">
        <v>256</v>
      </c>
      <c r="E178" s="15" t="s">
        <v>218</v>
      </c>
      <c r="F178" s="9" t="s">
        <v>247</v>
      </c>
      <c r="G178" s="9" t="s">
        <v>248</v>
      </c>
      <c r="H178" s="9" t="s">
        <v>247</v>
      </c>
      <c r="I178" s="9" t="s">
        <v>247</v>
      </c>
      <c r="J178" s="9" t="s">
        <v>247</v>
      </c>
      <c r="K178" s="10" t="str">
        <f>VLOOKUP($C178,[1]Страны!$C$4:$M$215,9,0)</f>
        <v>Да</v>
      </c>
      <c r="L178" s="10" t="str">
        <f>VLOOKUP($C178,[1]Страны!$C$4:$M$215,10,0)</f>
        <v>Да</v>
      </c>
      <c r="M178" s="16"/>
    </row>
    <row r="179" spans="1:13" ht="14.4" customHeight="1" x14ac:dyDescent="0.35">
      <c r="A179" s="13" t="s">
        <v>0</v>
      </c>
      <c r="B179" s="10">
        <v>175</v>
      </c>
      <c r="C179" s="10" t="s">
        <v>198</v>
      </c>
      <c r="D179" s="10" t="s">
        <v>256</v>
      </c>
      <c r="E179" s="9" t="s">
        <v>218</v>
      </c>
      <c r="F179" s="9" t="s">
        <v>248</v>
      </c>
      <c r="G179" s="9" t="s">
        <v>248</v>
      </c>
      <c r="H179" s="9" t="s">
        <v>248</v>
      </c>
      <c r="I179" s="9" t="s">
        <v>247</v>
      </c>
      <c r="J179" s="9" t="s">
        <v>248</v>
      </c>
      <c r="K179" s="10" t="str">
        <f>VLOOKUP($C179,[1]Страны!$C$4:$M$215,9,0)</f>
        <v>Да</v>
      </c>
      <c r="L179" s="10" t="str">
        <f>VLOOKUP($C179,[1]Страны!$C$4:$M$215,10,0)</f>
        <v>Да</v>
      </c>
      <c r="M179" s="10"/>
    </row>
    <row r="180" spans="1:13" ht="14.4" customHeight="1" x14ac:dyDescent="0.35">
      <c r="A180" s="6" t="s">
        <v>210</v>
      </c>
      <c r="B180" s="10">
        <v>176</v>
      </c>
      <c r="C180" s="10" t="s">
        <v>154</v>
      </c>
      <c r="D180" s="10" t="s">
        <v>219</v>
      </c>
      <c r="E180" s="9" t="s">
        <v>220</v>
      </c>
      <c r="F180" s="15" t="s">
        <v>248</v>
      </c>
      <c r="G180" s="15" t="s">
        <v>248</v>
      </c>
      <c r="H180" s="15" t="s">
        <v>248</v>
      </c>
      <c r="I180" s="15" t="s">
        <v>248</v>
      </c>
      <c r="J180" s="15" t="s">
        <v>248</v>
      </c>
      <c r="K180" s="10" t="str">
        <f>VLOOKUP($C180,[1]Страны!$C$4:$M$215,9,0)</f>
        <v>Нет</v>
      </c>
      <c r="L180" s="10" t="str">
        <f>VLOOKUP($C180,[1]Страны!$C$4:$M$215,10,0)</f>
        <v>Нет</v>
      </c>
      <c r="M180" s="10"/>
    </row>
    <row r="181" spans="1:13" ht="14.4" customHeight="1" x14ac:dyDescent="0.35">
      <c r="A181" s="13" t="s">
        <v>0</v>
      </c>
      <c r="B181" s="10">
        <v>177</v>
      </c>
      <c r="C181" s="10" t="s">
        <v>185</v>
      </c>
      <c r="D181" s="10" t="s">
        <v>228</v>
      </c>
      <c r="E181" s="9" t="s">
        <v>218</v>
      </c>
      <c r="F181" s="15" t="s">
        <v>248</v>
      </c>
      <c r="G181" s="15" t="s">
        <v>248</v>
      </c>
      <c r="H181" s="15" t="s">
        <v>248</v>
      </c>
      <c r="I181" s="15" t="s">
        <v>247</v>
      </c>
      <c r="J181" s="15" t="s">
        <v>248</v>
      </c>
      <c r="K181" s="10" t="str">
        <f>VLOOKUP($C181,[1]Страны!$C$4:$M$215,9,0)</f>
        <v>Да</v>
      </c>
      <c r="L181" s="10" t="str">
        <f>VLOOKUP($C181,[1]Страны!$C$4:$M$215,10,0)</f>
        <v>Да</v>
      </c>
      <c r="M181" s="10"/>
    </row>
    <row r="182" spans="1:13" ht="14.4" customHeight="1" x14ac:dyDescent="0.35">
      <c r="A182" s="6" t="s">
        <v>4</v>
      </c>
      <c r="B182" s="10">
        <v>178</v>
      </c>
      <c r="C182" s="10" t="s">
        <v>186</v>
      </c>
      <c r="D182" s="10" t="s">
        <v>219</v>
      </c>
      <c r="E182" s="9" t="s">
        <v>220</v>
      </c>
      <c r="F182" s="15" t="s">
        <v>248</v>
      </c>
      <c r="G182" s="15" t="s">
        <v>248</v>
      </c>
      <c r="H182" s="15" t="s">
        <v>248</v>
      </c>
      <c r="I182" s="15" t="s">
        <v>248</v>
      </c>
      <c r="J182" s="15" t="s">
        <v>248</v>
      </c>
      <c r="K182" s="10" t="str">
        <f>VLOOKUP($C182,[1]Страны!$C$4:$M$215,9,0)</f>
        <v>Нет</v>
      </c>
      <c r="L182" s="10" t="str">
        <f>VLOOKUP($C182,[1]Страны!$C$4:$M$215,10,0)</f>
        <v>Нет</v>
      </c>
      <c r="M182" s="10"/>
    </row>
    <row r="183" spans="1:13" ht="14.4" customHeight="1" x14ac:dyDescent="0.35">
      <c r="A183" s="5" t="s">
        <v>5</v>
      </c>
      <c r="B183" s="10">
        <v>179</v>
      </c>
      <c r="C183" s="10" t="s">
        <v>187</v>
      </c>
      <c r="D183" s="10" t="s">
        <v>219</v>
      </c>
      <c r="E183" s="9" t="s">
        <v>220</v>
      </c>
      <c r="F183" s="9" t="s">
        <v>248</v>
      </c>
      <c r="G183" s="9" t="s">
        <v>248</v>
      </c>
      <c r="H183" s="9" t="s">
        <v>248</v>
      </c>
      <c r="I183" s="9" t="s">
        <v>248</v>
      </c>
      <c r="J183" s="9" t="s">
        <v>248</v>
      </c>
      <c r="K183" s="10" t="str">
        <f>VLOOKUP($C183,[1]Страны!$C$4:$M$215,9,0)</f>
        <v>Нет</v>
      </c>
      <c r="L183" s="10" t="str">
        <f>VLOOKUP($C183,[1]Страны!$C$4:$M$215,10,0)</f>
        <v>Нет</v>
      </c>
      <c r="M183" s="10"/>
    </row>
    <row r="184" spans="1:13" ht="14.4" customHeight="1" x14ac:dyDescent="0.35">
      <c r="A184" s="6" t="s">
        <v>4</v>
      </c>
      <c r="B184" s="10">
        <v>180</v>
      </c>
      <c r="C184" s="10" t="s">
        <v>192</v>
      </c>
      <c r="D184" s="10" t="s">
        <v>219</v>
      </c>
      <c r="E184" s="9" t="s">
        <v>220</v>
      </c>
      <c r="F184" s="9" t="s">
        <v>248</v>
      </c>
      <c r="G184" s="9" t="s">
        <v>248</v>
      </c>
      <c r="H184" s="9" t="s">
        <v>248</v>
      </c>
      <c r="I184" s="9" t="s">
        <v>248</v>
      </c>
      <c r="J184" s="9" t="s">
        <v>248</v>
      </c>
      <c r="K184" s="10" t="str">
        <f>VLOOKUP($C184,[1]Страны!$C$4:$M$215,9,0)</f>
        <v>Нет</v>
      </c>
      <c r="L184" s="10" t="str">
        <f>VLOOKUP($C184,[1]Страны!$C$4:$M$215,10,0)</f>
        <v>Нет</v>
      </c>
      <c r="M184" s="10"/>
    </row>
    <row r="185" spans="1:13" ht="14.4" customHeight="1" x14ac:dyDescent="0.35">
      <c r="A185" s="13" t="s">
        <v>0</v>
      </c>
      <c r="B185" s="10">
        <v>181</v>
      </c>
      <c r="C185" s="10" t="s">
        <v>189</v>
      </c>
      <c r="D185" s="10" t="s">
        <v>226</v>
      </c>
      <c r="E185" s="15" t="s">
        <v>218</v>
      </c>
      <c r="F185" s="9" t="s">
        <v>247</v>
      </c>
      <c r="G185" s="9" t="s">
        <v>248</v>
      </c>
      <c r="H185" s="9" t="s">
        <v>247</v>
      </c>
      <c r="I185" s="9" t="s">
        <v>247</v>
      </c>
      <c r="J185" s="9" t="s">
        <v>247</v>
      </c>
      <c r="K185" s="10" t="str">
        <f>VLOOKUP($C185,[1]Страны!$C$4:$M$215,9,0)</f>
        <v>Да</v>
      </c>
      <c r="L185" s="10" t="str">
        <f>VLOOKUP($C185,[1]Страны!$C$4:$M$215,10,0)</f>
        <v>Да</v>
      </c>
      <c r="M185" s="10"/>
    </row>
    <row r="186" spans="1:13" ht="14.4" customHeight="1" x14ac:dyDescent="0.35">
      <c r="A186" s="4" t="s">
        <v>6</v>
      </c>
      <c r="B186" s="10">
        <v>182</v>
      </c>
      <c r="C186" s="10" t="s">
        <v>191</v>
      </c>
      <c r="D186" s="10" t="s">
        <v>226</v>
      </c>
      <c r="E186" s="15" t="s">
        <v>218</v>
      </c>
      <c r="F186" s="9" t="s">
        <v>247</v>
      </c>
      <c r="G186" s="9" t="s">
        <v>248</v>
      </c>
      <c r="H186" s="9" t="s">
        <v>247</v>
      </c>
      <c r="I186" s="9" t="s">
        <v>247</v>
      </c>
      <c r="J186" s="9" t="s">
        <v>247</v>
      </c>
      <c r="K186" s="10" t="str">
        <f>VLOOKUP($C186,[1]Страны!$C$4:$M$215,9,0)</f>
        <v>Да</v>
      </c>
      <c r="L186" s="10" t="str">
        <f>VLOOKUP($C186,[1]Страны!$C$4:$M$215,10,0)</f>
        <v>Да</v>
      </c>
      <c r="M186" s="16"/>
    </row>
    <row r="187" spans="1:13" ht="14.4" customHeight="1" x14ac:dyDescent="0.35">
      <c r="A187" s="4" t="s">
        <v>210</v>
      </c>
      <c r="B187" s="10">
        <v>183</v>
      </c>
      <c r="C187" s="10" t="s">
        <v>190</v>
      </c>
      <c r="D187" s="10" t="s">
        <v>225</v>
      </c>
      <c r="E187" s="15" t="s">
        <v>218</v>
      </c>
      <c r="F187" s="9" t="s">
        <v>247</v>
      </c>
      <c r="G187" s="9" t="s">
        <v>248</v>
      </c>
      <c r="H187" s="9" t="s">
        <v>247</v>
      </c>
      <c r="I187" s="9" t="s">
        <v>247</v>
      </c>
      <c r="J187" s="9" t="s">
        <v>247</v>
      </c>
      <c r="K187" s="10" t="str">
        <f>VLOOKUP($C187,[1]Страны!$C$4:$M$215,9,0)</f>
        <v>Да</v>
      </c>
      <c r="L187" s="10" t="str">
        <f>VLOOKUP($C187,[1]Страны!$C$4:$M$215,10,0)</f>
        <v>Да</v>
      </c>
      <c r="M187" s="10"/>
    </row>
    <row r="188" spans="1:13" ht="14.4" customHeight="1" x14ac:dyDescent="0.35">
      <c r="A188" s="13" t="s">
        <v>0</v>
      </c>
      <c r="B188" s="10">
        <v>184</v>
      </c>
      <c r="C188" s="10" t="s">
        <v>193</v>
      </c>
      <c r="D188" s="10" t="s">
        <v>225</v>
      </c>
      <c r="E188" s="9" t="s">
        <v>218</v>
      </c>
      <c r="F188" s="10" t="s">
        <v>248</v>
      </c>
      <c r="G188" s="10" t="s">
        <v>248</v>
      </c>
      <c r="H188" s="10" t="s">
        <v>247</v>
      </c>
      <c r="I188" s="10" t="s">
        <v>247</v>
      </c>
      <c r="J188" s="10" t="s">
        <v>248</v>
      </c>
      <c r="K188" s="10" t="str">
        <f>VLOOKUP($C188,[1]Страны!$C$4:$M$215,9,0)</f>
        <v>Да</v>
      </c>
      <c r="L188" s="10" t="str">
        <f>VLOOKUP($C188,[1]Страны!$C$4:$M$215,10,0)</f>
        <v>Да</v>
      </c>
      <c r="M188" s="10"/>
    </row>
    <row r="189" spans="1:13" ht="14.4" customHeight="1" x14ac:dyDescent="0.35">
      <c r="A189" s="4" t="s">
        <v>6</v>
      </c>
      <c r="B189" s="10">
        <v>185</v>
      </c>
      <c r="C189" s="10" t="s">
        <v>201</v>
      </c>
      <c r="D189" s="10" t="s">
        <v>256</v>
      </c>
      <c r="E189" s="9" t="s">
        <v>218</v>
      </c>
      <c r="F189" s="9" t="s">
        <v>247</v>
      </c>
      <c r="G189" s="9" t="s">
        <v>248</v>
      </c>
      <c r="H189" s="9" t="s">
        <v>247</v>
      </c>
      <c r="I189" s="9" t="s">
        <v>247</v>
      </c>
      <c r="J189" s="9" t="s">
        <v>247</v>
      </c>
      <c r="K189" s="10" t="str">
        <f>VLOOKUP($C189,[1]Страны!$C$4:$M$215,9,0)</f>
        <v>Да</v>
      </c>
      <c r="L189" s="10" t="str">
        <f>VLOOKUP($C189,[1]Страны!$C$4:$M$215,10,0)</f>
        <v>Да</v>
      </c>
      <c r="M189" s="14"/>
    </row>
    <row r="190" spans="1:13" ht="14.4" customHeight="1" x14ac:dyDescent="0.35">
      <c r="A190" s="6" t="s">
        <v>6</v>
      </c>
      <c r="B190" s="10">
        <v>186</v>
      </c>
      <c r="C190" s="10" t="s">
        <v>194</v>
      </c>
      <c r="D190" s="10" t="s">
        <v>219</v>
      </c>
      <c r="E190" s="9" t="s">
        <v>220</v>
      </c>
      <c r="F190" s="10" t="s">
        <v>248</v>
      </c>
      <c r="G190" s="10" t="s">
        <v>248</v>
      </c>
      <c r="H190" s="10" t="s">
        <v>248</v>
      </c>
      <c r="I190" s="10" t="s">
        <v>248</v>
      </c>
      <c r="J190" s="10" t="s">
        <v>248</v>
      </c>
      <c r="K190" s="10" t="str">
        <f>VLOOKUP($C190,[1]Страны!$C$4:$M$215,9,0)</f>
        <v>Нет</v>
      </c>
      <c r="L190" s="10" t="str">
        <f>VLOOKUP($C190,[1]Страны!$C$4:$M$215,10,0)</f>
        <v>Нет</v>
      </c>
      <c r="M190" s="10"/>
    </row>
    <row r="191" spans="1:13" x14ac:dyDescent="0.35">
      <c r="A191" s="13" t="s">
        <v>5</v>
      </c>
      <c r="B191" s="10">
        <v>187</v>
      </c>
      <c r="C191" s="10" t="s">
        <v>200</v>
      </c>
      <c r="D191" s="10" t="s">
        <v>231</v>
      </c>
      <c r="E191" s="10" t="s">
        <v>218</v>
      </c>
      <c r="F191" s="10" t="s">
        <v>248</v>
      </c>
      <c r="G191" s="10" t="s">
        <v>248</v>
      </c>
      <c r="H191" s="10" t="s">
        <v>248</v>
      </c>
      <c r="I191" s="9" t="s">
        <v>247</v>
      </c>
      <c r="J191" s="10" t="s">
        <v>248</v>
      </c>
      <c r="K191" s="10" t="str">
        <f>VLOOKUP($C191,[1]Страны!$C$4:$M$215,9,0)</f>
        <v>Нет</v>
      </c>
      <c r="L191" s="10" t="str">
        <f>VLOOKUP($C191,[1]Страны!$C$4:$M$215,10,0)</f>
        <v>Нет</v>
      </c>
      <c r="M191" s="10"/>
    </row>
    <row r="192" spans="1:13" ht="14.4" customHeight="1" x14ac:dyDescent="0.35">
      <c r="A192" s="6" t="s">
        <v>4</v>
      </c>
      <c r="B192" s="10">
        <v>188</v>
      </c>
      <c r="C192" s="10" t="s">
        <v>63</v>
      </c>
      <c r="D192" s="10" t="s">
        <v>219</v>
      </c>
      <c r="E192" s="9" t="s">
        <v>220</v>
      </c>
      <c r="F192" s="10" t="s">
        <v>248</v>
      </c>
      <c r="G192" s="10" t="s">
        <v>248</v>
      </c>
      <c r="H192" s="10" t="s">
        <v>248</v>
      </c>
      <c r="I192" s="10" t="s">
        <v>248</v>
      </c>
      <c r="J192" s="10" t="s">
        <v>248</v>
      </c>
      <c r="K192" s="10" t="str">
        <f>VLOOKUP($C192,[1]Страны!$C$4:$M$215,9,0)</f>
        <v>Нет</v>
      </c>
      <c r="L192" s="10" t="str">
        <f>VLOOKUP($C192,[1]Страны!$C$4:$M$215,10,0)</f>
        <v>Нет</v>
      </c>
      <c r="M192" s="10"/>
    </row>
    <row r="193" spans="1:13" ht="14.4" customHeight="1" x14ac:dyDescent="0.35">
      <c r="A193" s="4" t="s">
        <v>210</v>
      </c>
      <c r="B193" s="10">
        <v>189</v>
      </c>
      <c r="C193" s="10" t="s">
        <v>150</v>
      </c>
      <c r="D193" s="10" t="s">
        <v>225</v>
      </c>
      <c r="E193" s="10" t="s">
        <v>218</v>
      </c>
      <c r="F193" s="9" t="s">
        <v>247</v>
      </c>
      <c r="G193" s="9" t="s">
        <v>248</v>
      </c>
      <c r="H193" s="9" t="s">
        <v>247</v>
      </c>
      <c r="I193" s="9" t="s">
        <v>247</v>
      </c>
      <c r="J193" s="9" t="s">
        <v>247</v>
      </c>
      <c r="K193" s="10" t="str">
        <f>VLOOKUP($C193,[1]Страны!$C$4:$M$215,9,0)</f>
        <v>Да</v>
      </c>
      <c r="L193" s="10" t="str">
        <f>VLOOKUP($C193,[1]Страны!$C$4:$M$215,10,0)</f>
        <v>Да</v>
      </c>
      <c r="M193" s="10"/>
    </row>
    <row r="194" spans="1:13" ht="14.4" customHeight="1" x14ac:dyDescent="0.35">
      <c r="A194" s="6" t="s">
        <v>209</v>
      </c>
      <c r="B194" s="10">
        <v>190</v>
      </c>
      <c r="C194" s="10" t="s">
        <v>64</v>
      </c>
      <c r="D194" s="10" t="s">
        <v>219</v>
      </c>
      <c r="E194" s="9" t="s">
        <v>220</v>
      </c>
      <c r="F194" s="10" t="s">
        <v>248</v>
      </c>
      <c r="G194" s="10" t="s">
        <v>248</v>
      </c>
      <c r="H194" s="10" t="s">
        <v>248</v>
      </c>
      <c r="I194" s="10" t="s">
        <v>248</v>
      </c>
      <c r="J194" s="10" t="s">
        <v>248</v>
      </c>
      <c r="K194" s="10" t="str">
        <f>VLOOKUP($C194,[1]Страны!$C$4:$M$215,9,0)</f>
        <v>Нет</v>
      </c>
      <c r="L194" s="10" t="str">
        <f>VLOOKUP($C194,[1]Страны!$C$4:$M$215,10,0)</f>
        <v>Нет</v>
      </c>
      <c r="M194" s="10"/>
    </row>
    <row r="195" spans="1:13" ht="14.4" customHeight="1" x14ac:dyDescent="0.35">
      <c r="A195" s="4" t="s">
        <v>209</v>
      </c>
      <c r="B195" s="10">
        <v>191</v>
      </c>
      <c r="C195" s="10" t="s">
        <v>65</v>
      </c>
      <c r="D195" s="10" t="s">
        <v>225</v>
      </c>
      <c r="E195" s="10" t="s">
        <v>242</v>
      </c>
      <c r="F195" s="10" t="s">
        <v>247</v>
      </c>
      <c r="G195" s="10" t="s">
        <v>247</v>
      </c>
      <c r="H195" s="10" t="s">
        <v>247</v>
      </c>
      <c r="I195" s="10" t="s">
        <v>247</v>
      </c>
      <c r="J195" s="10" t="s">
        <v>248</v>
      </c>
      <c r="K195" s="10" t="str">
        <f>VLOOKUP($C195,[1]Страны!$C$4:$M$215,9,0)</f>
        <v>Да</v>
      </c>
      <c r="L195" s="10" t="str">
        <f>VLOOKUP($C195,[1]Страны!$C$4:$M$215,10,0)</f>
        <v>Да</v>
      </c>
      <c r="M195" s="16"/>
    </row>
    <row r="196" spans="1:13" ht="14.4" customHeight="1" x14ac:dyDescent="0.35">
      <c r="A196" s="4" t="s">
        <v>209</v>
      </c>
      <c r="B196" s="10">
        <v>192</v>
      </c>
      <c r="C196" s="10" t="s">
        <v>50</v>
      </c>
      <c r="D196" s="10" t="s">
        <v>223</v>
      </c>
      <c r="E196" s="10" t="s">
        <v>242</v>
      </c>
      <c r="F196" s="10" t="s">
        <v>247</v>
      </c>
      <c r="G196" s="10" t="s">
        <v>247</v>
      </c>
      <c r="H196" s="10" t="s">
        <v>247</v>
      </c>
      <c r="I196" s="10" t="s">
        <v>247</v>
      </c>
      <c r="J196" s="10" t="s">
        <v>248</v>
      </c>
      <c r="K196" s="10" t="str">
        <f>VLOOKUP($C196,[1]Страны!$C$4:$M$215,9,0)</f>
        <v>Да</v>
      </c>
      <c r="L196" s="10" t="str">
        <f>VLOOKUP($C196,[1]Страны!$C$4:$M$215,10,0)</f>
        <v>Да</v>
      </c>
      <c r="M196" s="16"/>
    </row>
    <row r="197" spans="1:13" ht="14.4" customHeight="1" x14ac:dyDescent="0.35">
      <c r="A197" s="4" t="s">
        <v>0</v>
      </c>
      <c r="B197" s="10">
        <v>193</v>
      </c>
      <c r="C197" s="10" t="s">
        <v>39</v>
      </c>
      <c r="D197" s="10" t="s">
        <v>228</v>
      </c>
      <c r="E197" s="10" t="s">
        <v>218</v>
      </c>
      <c r="F197" s="10" t="s">
        <v>248</v>
      </c>
      <c r="G197" s="10" t="s">
        <v>248</v>
      </c>
      <c r="H197" s="10" t="s">
        <v>248</v>
      </c>
      <c r="I197" s="10" t="s">
        <v>247</v>
      </c>
      <c r="J197" s="10" t="s">
        <v>248</v>
      </c>
      <c r="K197" s="10" t="str">
        <f>VLOOKUP($C197,[1]Страны!$C$4:$M$215,9,0)</f>
        <v>Да</v>
      </c>
      <c r="L197" s="10" t="str">
        <f>VLOOKUP($C197,[1]Страны!$C$4:$M$215,10,0)</f>
        <v>Да</v>
      </c>
      <c r="M197" s="10"/>
    </row>
    <row r="198" spans="1:13" ht="14.4" customHeight="1" x14ac:dyDescent="0.35">
      <c r="A198" s="5" t="s">
        <v>0</v>
      </c>
      <c r="B198" s="10">
        <v>194</v>
      </c>
      <c r="C198" s="10" t="s">
        <v>41</v>
      </c>
      <c r="D198" s="10" t="s">
        <v>219</v>
      </c>
      <c r="E198" s="9" t="s">
        <v>220</v>
      </c>
      <c r="F198" s="10" t="s">
        <v>248</v>
      </c>
      <c r="G198" s="10" t="s">
        <v>248</v>
      </c>
      <c r="H198" s="10" t="s">
        <v>248</v>
      </c>
      <c r="I198" s="10" t="s">
        <v>248</v>
      </c>
      <c r="J198" s="10" t="s">
        <v>248</v>
      </c>
      <c r="K198" s="10" t="str">
        <f>VLOOKUP($C198,[1]Страны!$C$4:$M$215,9,0)</f>
        <v>Нет</v>
      </c>
      <c r="L198" s="10" t="str">
        <f>VLOOKUP($C198,[1]Страны!$C$4:$M$215,10,0)</f>
        <v>Нет</v>
      </c>
      <c r="M198" s="10"/>
    </row>
    <row r="199" spans="1:13" ht="14.4" customHeight="1" x14ac:dyDescent="0.35">
      <c r="A199" s="4" t="s">
        <v>209</v>
      </c>
      <c r="B199" s="10">
        <v>195</v>
      </c>
      <c r="C199" s="10" t="s">
        <v>125</v>
      </c>
      <c r="D199" s="10" t="s">
        <v>258</v>
      </c>
      <c r="E199" s="10" t="s">
        <v>218</v>
      </c>
      <c r="F199" s="10" t="s">
        <v>247</v>
      </c>
      <c r="G199" s="10" t="s">
        <v>248</v>
      </c>
      <c r="H199" s="10" t="s">
        <v>247</v>
      </c>
      <c r="I199" s="10" t="s">
        <v>247</v>
      </c>
      <c r="J199" s="10" t="s">
        <v>247</v>
      </c>
      <c r="K199" s="10" t="str">
        <f>VLOOKUP($C199,[1]Страны!$C$4:$M$215,9,0)</f>
        <v>Да</v>
      </c>
      <c r="L199" s="10" t="str">
        <f>VLOOKUP($C199,[1]Страны!$C$4:$M$215,10,0)</f>
        <v>Да</v>
      </c>
      <c r="M199" s="10"/>
    </row>
    <row r="200" spans="1:13" x14ac:dyDescent="0.35">
      <c r="A200" s="4" t="s">
        <v>209</v>
      </c>
      <c r="B200" s="10">
        <v>196</v>
      </c>
      <c r="C200" s="10" t="s">
        <v>53</v>
      </c>
      <c r="D200" s="10" t="s">
        <v>226</v>
      </c>
      <c r="E200" s="10" t="s">
        <v>242</v>
      </c>
      <c r="F200" s="10" t="s">
        <v>247</v>
      </c>
      <c r="G200" s="10" t="s">
        <v>247</v>
      </c>
      <c r="H200" s="10" t="s">
        <v>247</v>
      </c>
      <c r="I200" s="10" t="s">
        <v>247</v>
      </c>
      <c r="J200" s="10" t="s">
        <v>247</v>
      </c>
      <c r="K200" s="10" t="str">
        <f>VLOOKUP($C200,[1]Страны!$C$4:$M$215,9,0)</f>
        <v>Да</v>
      </c>
      <c r="L200" s="10" t="str">
        <f>VLOOKUP($C200,[1]Страны!$C$4:$M$215,10,0)</f>
        <v>Да</v>
      </c>
      <c r="M200" s="16"/>
    </row>
    <row r="201" spans="1:13" ht="14.4" customHeight="1" x14ac:dyDescent="0.35">
      <c r="A201" s="13" t="s">
        <v>5</v>
      </c>
      <c r="B201" s="10">
        <v>197</v>
      </c>
      <c r="C201" s="10" t="s">
        <v>42</v>
      </c>
      <c r="D201" s="10" t="s">
        <v>231</v>
      </c>
      <c r="E201" s="10" t="s">
        <v>218</v>
      </c>
      <c r="F201" s="10" t="s">
        <v>247</v>
      </c>
      <c r="G201" s="10" t="s">
        <v>248</v>
      </c>
      <c r="H201" s="10" t="s">
        <v>247</v>
      </c>
      <c r="I201" s="10" t="s">
        <v>247</v>
      </c>
      <c r="J201" s="10" t="s">
        <v>247</v>
      </c>
      <c r="K201" s="10" t="str">
        <f>VLOOKUP($C201,[1]Страны!$C$4:$M$215,9,0)</f>
        <v>Да</v>
      </c>
      <c r="L201" s="10" t="str">
        <f>VLOOKUP($C201,[1]Страны!$C$4:$M$215,10,0)</f>
        <v>Да</v>
      </c>
      <c r="M201" s="10"/>
    </row>
    <row r="202" spans="1:13" x14ac:dyDescent="0.35">
      <c r="A202" s="4" t="s">
        <v>209</v>
      </c>
      <c r="B202" s="10">
        <v>198</v>
      </c>
      <c r="C202" s="10" t="s">
        <v>181</v>
      </c>
      <c r="D202" s="10" t="s">
        <v>258</v>
      </c>
      <c r="E202" s="10" t="s">
        <v>242</v>
      </c>
      <c r="F202" s="10" t="s">
        <v>247</v>
      </c>
      <c r="G202" s="10" t="s">
        <v>247</v>
      </c>
      <c r="H202" s="10" t="s">
        <v>247</v>
      </c>
      <c r="I202" s="10" t="s">
        <v>247</v>
      </c>
      <c r="J202" s="10" t="s">
        <v>247</v>
      </c>
      <c r="K202" s="10" t="str">
        <f>VLOOKUP($C202,[1]Страны!$C$4:$M$215,9,0)</f>
        <v>Да</v>
      </c>
      <c r="L202" s="10" t="str">
        <f>VLOOKUP($C202,[1]Страны!$C$4:$M$215,10,0)</f>
        <v>Да</v>
      </c>
      <c r="M202" s="16"/>
    </row>
    <row r="203" spans="1:13" x14ac:dyDescent="0.35">
      <c r="A203" s="4" t="s">
        <v>209</v>
      </c>
      <c r="B203" s="10">
        <v>199</v>
      </c>
      <c r="C203" s="10" t="s">
        <v>180</v>
      </c>
      <c r="D203" s="10" t="s">
        <v>224</v>
      </c>
      <c r="E203" s="10" t="s">
        <v>242</v>
      </c>
      <c r="F203" s="9" t="s">
        <v>247</v>
      </c>
      <c r="G203" s="9" t="s">
        <v>247</v>
      </c>
      <c r="H203" s="9" t="s">
        <v>247</v>
      </c>
      <c r="I203" s="9" t="s">
        <v>247</v>
      </c>
      <c r="J203" s="9" t="s">
        <v>248</v>
      </c>
      <c r="K203" s="10" t="str">
        <f>VLOOKUP($C203,[1]Страны!$C$4:$M$215,9,0)</f>
        <v>Да</v>
      </c>
      <c r="L203" s="10" t="str">
        <f>VLOOKUP($C203,[1]Страны!$C$4:$M$215,10,0)</f>
        <v>Да</v>
      </c>
      <c r="M203" s="16"/>
    </row>
    <row r="204" spans="1:13" ht="14.4" customHeight="1" x14ac:dyDescent="0.35">
      <c r="A204" s="4" t="s">
        <v>209</v>
      </c>
      <c r="B204" s="10">
        <v>200</v>
      </c>
      <c r="C204" s="10" t="s">
        <v>178</v>
      </c>
      <c r="D204" s="10" t="s">
        <v>223</v>
      </c>
      <c r="E204" s="10" t="s">
        <v>218</v>
      </c>
      <c r="F204" s="10" t="s">
        <v>247</v>
      </c>
      <c r="G204" s="10" t="s">
        <v>248</v>
      </c>
      <c r="H204" s="10" t="s">
        <v>247</v>
      </c>
      <c r="I204" s="10" t="s">
        <v>248</v>
      </c>
      <c r="J204" s="10" t="s">
        <v>247</v>
      </c>
      <c r="K204" s="10" t="str">
        <f>VLOOKUP($C204,[1]Страны!$C$4:$M$215,9,0)</f>
        <v>Да</v>
      </c>
      <c r="L204" s="10" t="str">
        <f>VLOOKUP($C204,[1]Страны!$C$4:$M$215,10,0)</f>
        <v>Да</v>
      </c>
      <c r="M204" s="16"/>
    </row>
    <row r="205" spans="1:13" ht="14.4" customHeight="1" x14ac:dyDescent="0.35">
      <c r="A205" s="4" t="s">
        <v>210</v>
      </c>
      <c r="B205" s="10">
        <v>201</v>
      </c>
      <c r="C205" s="10" t="s">
        <v>40</v>
      </c>
      <c r="D205" s="10" t="s">
        <v>225</v>
      </c>
      <c r="E205" s="10" t="s">
        <v>218</v>
      </c>
      <c r="F205" s="9" t="s">
        <v>247</v>
      </c>
      <c r="G205" s="9" t="s">
        <v>248</v>
      </c>
      <c r="H205" s="9" t="s">
        <v>247</v>
      </c>
      <c r="I205" s="9" t="s">
        <v>247</v>
      </c>
      <c r="J205" s="9" t="s">
        <v>247</v>
      </c>
      <c r="K205" s="10" t="str">
        <f>VLOOKUP($C205,[1]Страны!$C$4:$M$215,9,0)</f>
        <v>Да</v>
      </c>
      <c r="L205" s="10" t="str">
        <f>VLOOKUP($C205,[1]Страны!$C$4:$M$215,10,0)</f>
        <v>Да</v>
      </c>
      <c r="M205" s="10"/>
    </row>
    <row r="206" spans="1:13" ht="14.4" customHeight="1" x14ac:dyDescent="0.35">
      <c r="A206" s="13" t="s">
        <v>5</v>
      </c>
      <c r="B206" s="10">
        <v>202</v>
      </c>
      <c r="C206" s="10" t="s">
        <v>58</v>
      </c>
      <c r="D206" s="10" t="s">
        <v>228</v>
      </c>
      <c r="E206" s="10" t="s">
        <v>218</v>
      </c>
      <c r="F206" s="10" t="s">
        <v>248</v>
      </c>
      <c r="G206" s="10" t="s">
        <v>248</v>
      </c>
      <c r="H206" s="10" t="s">
        <v>248</v>
      </c>
      <c r="I206" s="10" t="s">
        <v>247</v>
      </c>
      <c r="J206" s="10" t="s">
        <v>248</v>
      </c>
      <c r="K206" s="10" t="str">
        <f>VLOOKUP($C206,[1]Страны!$C$4:$M$215,9,0)</f>
        <v>Да</v>
      </c>
      <c r="L206" s="10" t="str">
        <f>VLOOKUP($C206,[1]Страны!$C$4:$M$215,10,0)</f>
        <v>Да</v>
      </c>
      <c r="M206" s="10"/>
    </row>
    <row r="207" spans="1:13" ht="14.4" customHeight="1" x14ac:dyDescent="0.35">
      <c r="A207" s="13" t="s">
        <v>0</v>
      </c>
      <c r="B207" s="10">
        <v>203</v>
      </c>
      <c r="C207" s="10" t="s">
        <v>59</v>
      </c>
      <c r="D207" s="10" t="s">
        <v>228</v>
      </c>
      <c r="E207" s="10" t="s">
        <v>218</v>
      </c>
      <c r="F207" s="9" t="s">
        <v>247</v>
      </c>
      <c r="G207" s="9" t="s">
        <v>248</v>
      </c>
      <c r="H207" s="9" t="s">
        <v>247</v>
      </c>
      <c r="I207" s="9" t="s">
        <v>247</v>
      </c>
      <c r="J207" s="9" t="s">
        <v>248</v>
      </c>
      <c r="K207" s="10" t="str">
        <f>VLOOKUP($C207,[1]Страны!$C$4:$M$215,9,0)</f>
        <v>Да</v>
      </c>
      <c r="L207" s="10" t="str">
        <f>VLOOKUP($C207,[1]Страны!$C$4:$M$215,10,0)</f>
        <v>Да</v>
      </c>
      <c r="M207" s="10"/>
    </row>
    <row r="208" spans="1:13" ht="14.4" customHeight="1" x14ac:dyDescent="0.35">
      <c r="A208" s="13" t="s">
        <v>0</v>
      </c>
      <c r="B208" s="10">
        <v>204</v>
      </c>
      <c r="C208" s="10" t="s">
        <v>61</v>
      </c>
      <c r="D208" s="10" t="s">
        <v>228</v>
      </c>
      <c r="E208" s="10" t="s">
        <v>218</v>
      </c>
      <c r="F208" s="9" t="s">
        <v>248</v>
      </c>
      <c r="G208" s="9" t="s">
        <v>248</v>
      </c>
      <c r="H208" s="9" t="s">
        <v>248</v>
      </c>
      <c r="I208" s="9" t="s">
        <v>247</v>
      </c>
      <c r="J208" s="9" t="s">
        <v>248</v>
      </c>
      <c r="K208" s="10" t="str">
        <f>VLOOKUP($C208,[1]Страны!$C$4:$M$215,9,0)</f>
        <v>Да</v>
      </c>
      <c r="L208" s="10" t="str">
        <f>VLOOKUP($C208,[1]Страны!$C$4:$M$215,10,0)</f>
        <v>Да</v>
      </c>
      <c r="M208" s="10"/>
    </row>
    <row r="209" spans="1:13" ht="14.4" customHeight="1" x14ac:dyDescent="0.35">
      <c r="A209" s="5" t="s">
        <v>0</v>
      </c>
      <c r="B209" s="10">
        <v>205</v>
      </c>
      <c r="C209" s="10" t="s">
        <v>179</v>
      </c>
      <c r="D209" s="10" t="s">
        <v>219</v>
      </c>
      <c r="E209" s="9" t="s">
        <v>220</v>
      </c>
      <c r="F209" s="10" t="s">
        <v>248</v>
      </c>
      <c r="G209" s="10" t="s">
        <v>248</v>
      </c>
      <c r="H209" s="10" t="s">
        <v>248</v>
      </c>
      <c r="I209" s="10" t="s">
        <v>248</v>
      </c>
      <c r="J209" s="10" t="s">
        <v>248</v>
      </c>
      <c r="K209" s="10" t="str">
        <f>VLOOKUP($C209,[1]Страны!$C$4:$M$215,9,0)</f>
        <v>Нет</v>
      </c>
      <c r="L209" s="10" t="str">
        <f>VLOOKUP($C209,[1]Страны!$C$4:$M$215,10,0)</f>
        <v>Нет</v>
      </c>
      <c r="M209" s="10"/>
    </row>
    <row r="210" spans="1:13" ht="14.4" customHeight="1" x14ac:dyDescent="0.35">
      <c r="A210" s="4" t="s">
        <v>209</v>
      </c>
      <c r="B210" s="10">
        <v>206</v>
      </c>
      <c r="C210" s="10" t="s">
        <v>62</v>
      </c>
      <c r="D210" s="10" t="s">
        <v>224</v>
      </c>
      <c r="E210" s="10" t="s">
        <v>242</v>
      </c>
      <c r="F210" s="10" t="s">
        <v>247</v>
      </c>
      <c r="G210" s="10" t="s">
        <v>247</v>
      </c>
      <c r="H210" s="10" t="s">
        <v>247</v>
      </c>
      <c r="I210" s="10" t="s">
        <v>248</v>
      </c>
      <c r="J210" s="10" t="s">
        <v>248</v>
      </c>
      <c r="K210" s="10" t="str">
        <f>VLOOKUP($C210,[1]Страны!$C$4:$M$215,9,0)</f>
        <v>Да</v>
      </c>
      <c r="L210" s="10" t="str">
        <f>VLOOKUP($C210,[1]Страны!$C$4:$M$215,10,0)</f>
        <v>Да</v>
      </c>
      <c r="M210" s="10" t="s">
        <v>240</v>
      </c>
    </row>
    <row r="211" spans="1:13" ht="14.4" customHeight="1" x14ac:dyDescent="0.35">
      <c r="A211" s="13" t="s">
        <v>0</v>
      </c>
      <c r="B211" s="10">
        <v>207</v>
      </c>
      <c r="C211" s="10" t="s">
        <v>60</v>
      </c>
      <c r="D211" s="10" t="s">
        <v>225</v>
      </c>
      <c r="E211" s="9" t="s">
        <v>218</v>
      </c>
      <c r="F211" s="10" t="s">
        <v>247</v>
      </c>
      <c r="G211" s="10" t="s">
        <v>248</v>
      </c>
      <c r="H211" s="10" t="s">
        <v>247</v>
      </c>
      <c r="I211" s="10" t="s">
        <v>247</v>
      </c>
      <c r="J211" s="10" t="s">
        <v>247</v>
      </c>
      <c r="K211" s="10" t="str">
        <f>VLOOKUP($C211,[1]Страны!$C$4:$M$215,9,0)</f>
        <v>Да</v>
      </c>
      <c r="L211" s="10" t="str">
        <f>VLOOKUP($C211,[1]Страны!$C$4:$M$215,10,0)</f>
        <v>Да</v>
      </c>
      <c r="M211" s="10"/>
    </row>
    <row r="212" spans="1:13" ht="14.4" customHeight="1" x14ac:dyDescent="0.35">
      <c r="A212" s="4" t="s">
        <v>6</v>
      </c>
      <c r="B212" s="10">
        <v>208</v>
      </c>
      <c r="C212" s="10" t="s">
        <v>207</v>
      </c>
      <c r="D212" s="10" t="s">
        <v>226</v>
      </c>
      <c r="E212" s="10" t="s">
        <v>217</v>
      </c>
      <c r="F212" s="10" t="s">
        <v>247</v>
      </c>
      <c r="G212" s="10" t="s">
        <v>247</v>
      </c>
      <c r="H212" s="10" t="s">
        <v>248</v>
      </c>
      <c r="I212" s="10" t="s">
        <v>248</v>
      </c>
      <c r="J212" s="10" t="s">
        <v>247</v>
      </c>
      <c r="K212" s="10" t="str">
        <f>VLOOKUP($C212,[1]Страны!$C$4:$M$215,9,0)</f>
        <v>Да</v>
      </c>
      <c r="L212" s="10" t="str">
        <f>VLOOKUP($C212,[1]Страны!$C$4:$M$215,10,0)</f>
        <v>Да</v>
      </c>
      <c r="M212" s="10"/>
    </row>
    <row r="213" spans="1:13" ht="14.4" customHeight="1" x14ac:dyDescent="0.35">
      <c r="A213" s="13" t="s">
        <v>0</v>
      </c>
      <c r="B213" s="10">
        <v>209</v>
      </c>
      <c r="C213" s="15" t="s">
        <v>238</v>
      </c>
      <c r="D213" s="10" t="s">
        <v>228</v>
      </c>
      <c r="E213" s="9" t="s">
        <v>218</v>
      </c>
      <c r="F213" s="10" t="s">
        <v>247</v>
      </c>
      <c r="G213" s="10" t="s">
        <v>248</v>
      </c>
      <c r="H213" s="10" t="s">
        <v>247</v>
      </c>
      <c r="I213" s="10" t="s">
        <v>247</v>
      </c>
      <c r="J213" s="10" t="s">
        <v>247</v>
      </c>
      <c r="K213" s="10" t="str">
        <f>VLOOKUP($C213,[1]Страны!$C$4:$M$215,9,0)</f>
        <v>Да</v>
      </c>
      <c r="L213" s="10" t="str">
        <f>VLOOKUP($C213,[1]Страны!$C$4:$M$215,10,0)</f>
        <v>Да</v>
      </c>
      <c r="M213" s="15"/>
    </row>
    <row r="214" spans="1:13" ht="14.4" customHeight="1" x14ac:dyDescent="0.35">
      <c r="A214" s="5" t="s">
        <v>0</v>
      </c>
      <c r="B214" s="10">
        <v>210</v>
      </c>
      <c r="C214" s="10" t="s">
        <v>208</v>
      </c>
      <c r="D214" s="10" t="s">
        <v>219</v>
      </c>
      <c r="E214" s="9" t="s">
        <v>220</v>
      </c>
      <c r="F214" s="10" t="s">
        <v>248</v>
      </c>
      <c r="G214" s="10" t="s">
        <v>248</v>
      </c>
      <c r="H214" s="10" t="s">
        <v>248</v>
      </c>
      <c r="I214" s="10" t="s">
        <v>248</v>
      </c>
      <c r="J214" s="10" t="s">
        <v>248</v>
      </c>
      <c r="K214" s="10" t="str">
        <f>VLOOKUP($C214,[1]Страны!$C$4:$M$215,9,0)</f>
        <v>Нет</v>
      </c>
      <c r="L214" s="10" t="str">
        <f>VLOOKUP($C214,[1]Страны!$C$4:$M$215,10,0)</f>
        <v>Нет</v>
      </c>
      <c r="M214" s="10"/>
    </row>
    <row r="215" spans="1:13" ht="14.4" customHeight="1" x14ac:dyDescent="0.35">
      <c r="A215" s="13" t="s">
        <v>5</v>
      </c>
      <c r="B215" s="10">
        <v>211</v>
      </c>
      <c r="C215" s="10" t="s">
        <v>96</v>
      </c>
      <c r="D215" s="10" t="s">
        <v>226</v>
      </c>
      <c r="E215" s="10" t="s">
        <v>218</v>
      </c>
      <c r="F215" s="10" t="s">
        <v>248</v>
      </c>
      <c r="G215" s="10" t="s">
        <v>248</v>
      </c>
      <c r="H215" s="10" t="s">
        <v>248</v>
      </c>
      <c r="I215" s="10" t="s">
        <v>247</v>
      </c>
      <c r="J215" s="10" t="s">
        <v>248</v>
      </c>
      <c r="K215" s="10" t="str">
        <f>VLOOKUP($C215,[1]Страны!$C$4:$M$215,9,0)</f>
        <v>Нет</v>
      </c>
      <c r="L215" s="10" t="str">
        <f>VLOOKUP($C215,[1]Страны!$C$4:$M$215,10,0)</f>
        <v>Нет</v>
      </c>
      <c r="M215" s="10"/>
    </row>
    <row r="216" spans="1:13" x14ac:dyDescent="0.35">
      <c r="A216" s="4" t="s">
        <v>210</v>
      </c>
      <c r="B216" s="10">
        <v>212</v>
      </c>
      <c r="C216" s="10" t="s">
        <v>97</v>
      </c>
      <c r="D216" s="10" t="s">
        <v>256</v>
      </c>
      <c r="E216" s="10" t="s">
        <v>218</v>
      </c>
      <c r="F216" s="10" t="s">
        <v>247</v>
      </c>
      <c r="G216" s="10" t="s">
        <v>248</v>
      </c>
      <c r="H216" s="10" t="s">
        <v>247</v>
      </c>
      <c r="I216" s="10" t="s">
        <v>247</v>
      </c>
      <c r="J216" s="10" t="s">
        <v>248</v>
      </c>
      <c r="K216" s="10" t="str">
        <f>VLOOKUP($C216,[1]Страны!$C$4:$M$215,9,0)</f>
        <v>Да</v>
      </c>
      <c r="L216" s="10" t="str">
        <f>VLOOKUP($C216,[1]Страны!$C$4:$M$215,10,0)</f>
        <v>Да</v>
      </c>
      <c r="M216" s="10"/>
    </row>
    <row r="217" spans="1:13" x14ac:dyDescent="0.35">
      <c r="F217"/>
      <c r="G217"/>
      <c r="H217"/>
      <c r="I217"/>
      <c r="J217"/>
      <c r="K217"/>
      <c r="L217"/>
    </row>
    <row r="218" spans="1:13" x14ac:dyDescent="0.35">
      <c r="F218"/>
      <c r="G218"/>
      <c r="H218"/>
      <c r="I218"/>
      <c r="J218"/>
      <c r="K218"/>
      <c r="L218"/>
    </row>
    <row r="219" spans="1:13" x14ac:dyDescent="0.35">
      <c r="F219"/>
      <c r="G219"/>
      <c r="H219"/>
      <c r="I219"/>
      <c r="J219"/>
      <c r="K219"/>
      <c r="L219"/>
    </row>
    <row r="220" spans="1:13" x14ac:dyDescent="0.35">
      <c r="F220"/>
      <c r="G220"/>
      <c r="H220"/>
      <c r="I220"/>
      <c r="J220"/>
      <c r="K220"/>
      <c r="L220"/>
    </row>
    <row r="221" spans="1:13" x14ac:dyDescent="0.35">
      <c r="F221"/>
      <c r="G221"/>
      <c r="H221"/>
      <c r="I221"/>
      <c r="J221"/>
      <c r="K221"/>
      <c r="L221"/>
    </row>
    <row r="222" spans="1:13" x14ac:dyDescent="0.35">
      <c r="F222"/>
      <c r="G222"/>
      <c r="H222"/>
      <c r="I222"/>
      <c r="J222"/>
      <c r="K222"/>
      <c r="L222"/>
    </row>
    <row r="223" spans="1:13" x14ac:dyDescent="0.35">
      <c r="F223"/>
      <c r="G223"/>
      <c r="H223"/>
      <c r="I223"/>
      <c r="J223"/>
      <c r="K223"/>
      <c r="L223"/>
    </row>
    <row r="224" spans="1:13" x14ac:dyDescent="0.35">
      <c r="F224"/>
      <c r="G224"/>
      <c r="H224"/>
      <c r="I224"/>
      <c r="J224"/>
      <c r="K224"/>
      <c r="L224"/>
    </row>
    <row r="225" spans="6:12" x14ac:dyDescent="0.35">
      <c r="F225"/>
      <c r="G225"/>
      <c r="H225"/>
      <c r="I225"/>
      <c r="J225"/>
      <c r="K225"/>
      <c r="L225"/>
    </row>
    <row r="226" spans="6:12" x14ac:dyDescent="0.35">
      <c r="F226"/>
      <c r="G226"/>
      <c r="H226"/>
      <c r="I226"/>
      <c r="J226"/>
      <c r="K226"/>
      <c r="L226"/>
    </row>
    <row r="227" spans="6:12" x14ac:dyDescent="0.35">
      <c r="F227"/>
      <c r="G227"/>
      <c r="H227"/>
      <c r="I227"/>
      <c r="J227"/>
      <c r="K227"/>
      <c r="L227"/>
    </row>
    <row r="228" spans="6:12" x14ac:dyDescent="0.35">
      <c r="F228"/>
      <c r="G228"/>
      <c r="H228"/>
      <c r="I228"/>
      <c r="J228"/>
      <c r="K228"/>
      <c r="L228"/>
    </row>
    <row r="229" spans="6:12" x14ac:dyDescent="0.35">
      <c r="F229"/>
      <c r="G229"/>
      <c r="H229"/>
      <c r="I229"/>
      <c r="J229"/>
      <c r="K229"/>
      <c r="L229"/>
    </row>
    <row r="230" spans="6:12" x14ac:dyDescent="0.35">
      <c r="F230"/>
      <c r="G230"/>
      <c r="H230"/>
      <c r="I230"/>
      <c r="J230"/>
      <c r="K230"/>
      <c r="L230"/>
    </row>
    <row r="231" spans="6:12" x14ac:dyDescent="0.35">
      <c r="F231"/>
      <c r="G231"/>
      <c r="H231"/>
      <c r="I231"/>
      <c r="J231"/>
      <c r="K231"/>
      <c r="L231"/>
    </row>
    <row r="232" spans="6:12" x14ac:dyDescent="0.35">
      <c r="F232"/>
      <c r="G232"/>
      <c r="H232"/>
      <c r="I232"/>
      <c r="J232"/>
      <c r="K232"/>
      <c r="L232"/>
    </row>
    <row r="259" spans="1:3" x14ac:dyDescent="0.35">
      <c r="A259" s="1"/>
      <c r="B259" s="1"/>
      <c r="C259" s="1"/>
    </row>
    <row r="260" spans="1:3" x14ac:dyDescent="0.35">
      <c r="A260" s="1"/>
      <c r="B260" s="1"/>
      <c r="C260" s="1"/>
    </row>
    <row r="261" spans="1:3" x14ac:dyDescent="0.35">
      <c r="A261" s="3"/>
      <c r="B261" s="1"/>
      <c r="C261" s="1"/>
    </row>
    <row r="262" spans="1:3" x14ac:dyDescent="0.35">
      <c r="A262" s="1"/>
      <c r="B262" s="1"/>
      <c r="C262" s="1"/>
    </row>
    <row r="263" spans="1:3" x14ac:dyDescent="0.35">
      <c r="A263" s="1"/>
      <c r="B263" s="1"/>
      <c r="C263" s="1"/>
    </row>
  </sheetData>
  <autoFilter ref="A4:M216">
    <sortState ref="A5:M216">
      <sortCondition ref="B4:B216"/>
    </sortState>
  </autoFilter>
  <sortState ref="A5:G214">
    <sortCondition ref="C5:C214"/>
  </sortState>
  <mergeCells count="2">
    <mergeCell ref="B1:C1"/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Страны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Яшин Игорь Викторович</dc:creator>
  <cp:lastModifiedBy>Администратор</cp:lastModifiedBy>
  <dcterms:created xsi:type="dcterms:W3CDTF">2020-07-06T14:41:58Z</dcterms:created>
  <dcterms:modified xsi:type="dcterms:W3CDTF">2025-11-16T18:34:13Z</dcterms:modified>
</cp:coreProperties>
</file>